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иломатериал" sheetId="2" state="visible" r:id="rId4"/>
    <sheet name="Смета" sheetId="3" state="visible" r:id="rId5"/>
    <sheet name="Пояснени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<sst xmlns="http://schemas.openxmlformats.org/spreadsheetml/2006/main" count="516" uniqueCount="214">
  <si>
    <t xml:space="preserve">Баня 5×4 с мансардой — бюджет по этапам строительства</t>
  </si>
  <si>
    <t xml:space="preserve">Учитывать работы подрядчика (1 — да, 0 — строим сами)</t>
  </si>
  <si>
    <t xml:space="preserve">Резерв на непредвиденное</t>
  </si>
  <si>
    <t xml:space="preserve">Код</t>
  </si>
  <si>
    <t xml:space="preserve">Этап</t>
  </si>
  <si>
    <t xml:space="preserve">Материалы, ₽</t>
  </si>
  <si>
    <t xml:space="preserve">Работы подрядчика, ₽</t>
  </si>
  <si>
    <t xml:space="preserve">Итого по этапу, ₽</t>
  </si>
  <si>
    <t xml:space="preserve">Доля</t>
  </si>
  <si>
    <t xml:space="preserve">Нарастающим итогом, ₽</t>
  </si>
  <si>
    <t xml:space="preserve">Срок, нед.</t>
  </si>
  <si>
    <t xml:space="preserve">Месяц оплаты (план)</t>
  </si>
  <si>
    <t xml:space="preserve">Э1</t>
  </si>
  <si>
    <t xml:space="preserve">Подготовка участка и подвод сетей</t>
  </si>
  <si>
    <t xml:space="preserve">мес. 1</t>
  </si>
  <si>
    <t xml:space="preserve">Э2</t>
  </si>
  <si>
    <t xml:space="preserve">Свайное поле: сваи 2,5 м</t>
  </si>
  <si>
    <t xml:space="preserve">Э3</t>
  </si>
  <si>
    <t xml:space="preserve">Ростверк и черновой пол</t>
  </si>
  <si>
    <t xml:space="preserve">мес. 2</t>
  </si>
  <si>
    <t xml:space="preserve">Э4</t>
  </si>
  <si>
    <t xml:space="preserve">Каркас стен 1 этажа и перегородки</t>
  </si>
  <si>
    <t xml:space="preserve">Э5</t>
  </si>
  <si>
    <t xml:space="preserve">Перекрытие (пол мансарды)</t>
  </si>
  <si>
    <t xml:space="preserve">мес. 3</t>
  </si>
  <si>
    <t xml:space="preserve">Э6</t>
  </si>
  <si>
    <t xml:space="preserve">Каркас стен 2 этажа: колени и фронтоны</t>
  </si>
  <si>
    <t xml:space="preserve">Э7</t>
  </si>
  <si>
    <t xml:space="preserve">Коньковая балка</t>
  </si>
  <si>
    <t xml:space="preserve">мес. 4</t>
  </si>
  <si>
    <t xml:space="preserve">Э8</t>
  </si>
  <si>
    <t xml:space="preserve">Стропила и кровля из профнастила</t>
  </si>
  <si>
    <t xml:space="preserve">Э9</t>
  </si>
  <si>
    <t xml:space="preserve">Окна и двери (закрытие контура)</t>
  </si>
  <si>
    <t xml:space="preserve">мес. 5</t>
  </si>
  <si>
    <t xml:space="preserve">Э10</t>
  </si>
  <si>
    <t xml:space="preserve">Утепление, защита, обшивка, полы мокрой зоны</t>
  </si>
  <si>
    <t xml:space="preserve">Э11</t>
  </si>
  <si>
    <t xml:space="preserve">Печь и дымоход Ø115</t>
  </si>
  <si>
    <t xml:space="preserve">мес. 6</t>
  </si>
  <si>
    <t xml:space="preserve">Э12</t>
  </si>
  <si>
    <t xml:space="preserve">Лестница (металл + дерево)</t>
  </si>
  <si>
    <t xml:space="preserve">Э13</t>
  </si>
  <si>
    <t xml:space="preserve">Внутренние сети: вода, канализация, электрика</t>
  </si>
  <si>
    <t xml:space="preserve">мес. 7</t>
  </si>
  <si>
    <t xml:space="preserve">Э14</t>
  </si>
  <si>
    <t xml:space="preserve">Терраса под навесом</t>
  </si>
  <si>
    <t xml:space="preserve">Итого по этапам</t>
  </si>
  <si>
    <t xml:space="preserve">ВСЕГО с резервом</t>
  </si>
  <si>
    <t xml:space="preserve">Только материалы (строим сами) + резерв</t>
  </si>
  <si>
    <t xml:space="preserve">Цены — ориентир на октябрь 2026 (СПб и Ленобласть): пиломатериал естественной влажности 16 500–20 000 ₽/м³, сваи Ø108×2500 3 100–4 000 ₽ по данным поставщиков; сухая калиброванная доска принята 30 000–35 000 ₽/м³; остальное — оценка. Уточните цены у своих поставщиков в листе «Смета».</t>
  </si>
  <si>
    <t xml:space="preserve">Работы подрядчика — ориентировочные суммы; если строите сами, поставьте 0 в ячейке B3. Сроки — при бригаде 2–4 человека, без простоев и доставки.</t>
  </si>
  <si>
    <t xml:space="preserve">Пиломатериал по этапам — из модели каркаса (альбом вер.33)</t>
  </si>
  <si>
    <t xml:space="preserve">Запас на отходы</t>
  </si>
  <si>
    <t xml:space="preserve">Сечение</t>
  </si>
  <si>
    <t xml:space="preserve">Деталей, шт.</t>
  </si>
  <si>
    <t xml:space="preserve">Пог. м</t>
  </si>
  <si>
    <t xml:space="preserve">Объём по модели, м³</t>
  </si>
  <si>
    <t xml:space="preserve">С запасом, м³</t>
  </si>
  <si>
    <t xml:space="preserve">50×150</t>
  </si>
  <si>
    <t xml:space="preserve">50×100</t>
  </si>
  <si>
    <t xml:space="preserve">50×250</t>
  </si>
  <si>
    <t xml:space="preserve">50×300</t>
  </si>
  <si>
    <t xml:space="preserve">Итого</t>
  </si>
  <si>
    <t xml:space="preserve">Количество деталей, длины и объёмы взяты из модели каркаса (синий шрифт — исходные данные). Запас меняется в ячейке B2.</t>
  </si>
  <si>
    <t xml:space="preserve">Смета материалов по этапам (цены — ориентир, октябрь 2026, СПб/ЛО)</t>
  </si>
  <si>
    <t xml:space="preserve">Жёлтые ячейки (количество и цена) можно менять — суммы и сводка пересчитаются.</t>
  </si>
  <si>
    <t xml:space="preserve">Позиция</t>
  </si>
  <si>
    <t xml:space="preserve">Ед.</t>
  </si>
  <si>
    <t xml:space="preserve">Кол-во</t>
  </si>
  <si>
    <t xml:space="preserve">Цена за ед., ₽</t>
  </si>
  <si>
    <t xml:space="preserve">Сумма, ₽</t>
  </si>
  <si>
    <t xml:space="preserve">Примечание / источник</t>
  </si>
  <si>
    <t xml:space="preserve">Расчистка площадки, снятие растительного слоя, планировка 6×5 м</t>
  </si>
  <si>
    <t xml:space="preserve">компл.</t>
  </si>
  <si>
    <t xml:space="preserve">оценка</t>
  </si>
  <si>
    <t xml:space="preserve">Отводная канава для стоков (копка)</t>
  </si>
  <si>
    <t xml:space="preserve">м</t>
  </si>
  <si>
    <t xml:space="preserve">длину уточнить по участку</t>
  </si>
  <si>
    <t xml:space="preserve">Труба ПП/ПНД 110 для выпуска стоков</t>
  </si>
  <si>
    <t xml:space="preserve">Щебень/песок для канавы и выпуска</t>
  </si>
  <si>
    <t xml:space="preserve">м³</t>
  </si>
  <si>
    <t xml:space="preserve">Траншея под воду (ниже промерзания или с греющим кабелем)</t>
  </si>
  <si>
    <t xml:space="preserve">длину уточнить</t>
  </si>
  <si>
    <t xml:space="preserve">Труба ПЭ32 для ввода воды</t>
  </si>
  <si>
    <t xml:space="preserve">Греющий кабель для трубы</t>
  </si>
  <si>
    <t xml:space="preserve">Утеплитель трубы (скорлупа/трубная изоляция)</t>
  </si>
  <si>
    <t xml:space="preserve">Фитинги, кран, гильзы</t>
  </si>
  <si>
    <t xml:space="preserve">Кабель ввода ВВГнг 3×6 в трубе ПНД</t>
  </si>
  <si>
    <t xml:space="preserve">длину уточнить; мощность по ТУ СНТ</t>
  </si>
  <si>
    <t xml:space="preserve">Щит ввода с автоматом и счётчиком (временный)</t>
  </si>
  <si>
    <t xml:space="preserve">Свая винтовая Ø108×2500 (стенка 4 мм)</t>
  </si>
  <si>
    <t xml:space="preserve">шт.</t>
  </si>
  <si>
    <t xml:space="preserve">поставщики 2026: 3 100–4 000 ₽</t>
  </si>
  <si>
    <t xml:space="preserve">Оголовок 200×200×6</t>
  </si>
  <si>
    <t xml:space="preserve">Монтаж свай (вворачивание, подрезка, сварка оголовков)</t>
  </si>
  <si>
    <t xml:space="preserve">Антикоррозионная защита голов</t>
  </si>
  <si>
    <t xml:space="preserve">Доска 50×150 сух. (ростверк, обвязка ОН, лаги, блоки)</t>
  </si>
  <si>
    <t xml:space="preserve">объём из модели + 10 %</t>
  </si>
  <si>
    <t xml:space="preserve">Шпильки M12 с гайками и шайбами 50×50×4</t>
  </si>
  <si>
    <t xml:space="preserve">Подвесы и уголки оцинкованные</t>
  </si>
  <si>
    <t xml:space="preserve">Гидроизоляционная лента на оголовки</t>
  </si>
  <si>
    <t xml:space="preserve">рул.</t>
  </si>
  <si>
    <t xml:space="preserve">Антисептик</t>
  </si>
  <si>
    <t xml:space="preserve">л</t>
  </si>
  <si>
    <t xml:space="preserve">Черновая обрешётка 100×22 под лагами</t>
  </si>
  <si>
    <t xml:space="preserve">Мембрана ветро-влагозащитная (пол)</t>
  </si>
  <si>
    <t xml:space="preserve">м²</t>
  </si>
  <si>
    <t xml:space="preserve">Минвата 150 мм (пол)</t>
  </si>
  <si>
    <t xml:space="preserve">Фольга / паробарьер и скотч</t>
  </si>
  <si>
    <t xml:space="preserve">Фанера ФСФ 22 шпунт 1220×2440 (настил пола)</t>
  </si>
  <si>
    <t xml:space="preserve">лист</t>
  </si>
  <si>
    <t xml:space="preserve">Саморезы и гвозди</t>
  </si>
  <si>
    <t xml:space="preserve">кг</t>
  </si>
  <si>
    <t xml:space="preserve">Доска 50×100 сух. (стены 1 этажа и перегородки)</t>
  </si>
  <si>
    <t xml:space="preserve">Анкеры M12 нижней обвязки</t>
  </si>
  <si>
    <t xml:space="preserve">Гвозди и саморезы</t>
  </si>
  <si>
    <t xml:space="preserve">Уголки, пластины</t>
  </si>
  <si>
    <t xml:space="preserve">Доска 50×250 сух. (лаги мансарды, ОП, тримеры, ригели)</t>
  </si>
  <si>
    <t xml:space="preserve">Фанера ФСФ 22 шпунт (настил мансарды)</t>
  </si>
  <si>
    <t xml:space="preserve">Уголки и подвесы</t>
  </si>
  <si>
    <t xml:space="preserve">Саморезы</t>
  </si>
  <si>
    <t xml:space="preserve">Доска 50×100 сух. (колени, фронтоны, пакеты ПФ)</t>
  </si>
  <si>
    <t xml:space="preserve">Ленты и ершики (колено → ОП → стены)</t>
  </si>
  <si>
    <t xml:space="preserve">Крепёж</t>
  </si>
  <si>
    <t xml:space="preserve">Доска 50×300×6000 сорт 1, прямослойная (КП)</t>
  </si>
  <si>
    <t xml:space="preserve">4 доски, резать в 4600</t>
  </si>
  <si>
    <t xml:space="preserve">Шпильки M12×250 с гайками и шайбами 50×50×4</t>
  </si>
  <si>
    <t xml:space="preserve">Опорные пластины и уголки КП</t>
  </si>
  <si>
    <t xml:space="preserve">Клей D3 (по желанию, на пласти)</t>
  </si>
  <si>
    <t xml:space="preserve">Доска 50×250 сух. (стропила)</t>
  </si>
  <si>
    <t xml:space="preserve">Доска 50×100 (ветровые связи)</t>
  </si>
  <si>
    <t xml:space="preserve">4 доски по 5,5 м</t>
  </si>
  <si>
    <t xml:space="preserve">Контрейка 50×50</t>
  </si>
  <si>
    <t xml:space="preserve">≈ 107 пог. м</t>
  </si>
  <si>
    <t xml:space="preserve">Обрешётка 25×100 с шагом 300 (под С-20)</t>
  </si>
  <si>
    <t xml:space="preserve">≈ 130 пог. м</t>
  </si>
  <si>
    <t xml:space="preserve">Диффузионная кровельная мембрана</t>
  </si>
  <si>
    <t xml:space="preserve">Профнастил С-20, 0,5 мм, полиэстер</t>
  </si>
  <si>
    <t xml:space="preserve">оценка; уточнить у поставщика</t>
  </si>
  <si>
    <t xml:space="preserve">Коньковая планка</t>
  </si>
  <si>
    <t xml:space="preserve">Торцевые и карнизные планки</t>
  </si>
  <si>
    <t xml:space="preserve">Саморезы кровельные с шайбой</t>
  </si>
  <si>
    <t xml:space="preserve">Проходка дымохода (мастер-флеш)</t>
  </si>
  <si>
    <t xml:space="preserve">Скользящие опоры и скобы стропил</t>
  </si>
  <si>
    <t xml:space="preserve">Дверь входная Д1 900×2000 утеплённая</t>
  </si>
  <si>
    <t xml:space="preserve">Дверь в парную Д2 700×1900 (стекло/дерево)</t>
  </si>
  <si>
    <t xml:space="preserve">Дверь Д3 700×1900</t>
  </si>
  <si>
    <t xml:space="preserve">Окно ОК-1 1000×1200</t>
  </si>
  <si>
    <t xml:space="preserve">Окно ОК-2 600×600</t>
  </si>
  <si>
    <t xml:space="preserve">Окно панорамное ОК-3 1300×600</t>
  </si>
  <si>
    <t xml:space="preserve">Окна мансарды ОК-М1, М2 700×1900</t>
  </si>
  <si>
    <t xml:space="preserve">Окна мансарды ОК-М3, М4 600×900</t>
  </si>
  <si>
    <t xml:space="preserve">Пена, ленты, отливы, наличники</t>
  </si>
  <si>
    <t xml:space="preserve">Минвата 100 мм (стены, перегородки, фронтоны)</t>
  </si>
  <si>
    <t xml:space="preserve">по 3D-модели + запас</t>
  </si>
  <si>
    <t xml:space="preserve">Минвата 250+50 мм (скаты кровли) и 250 мм (пол мансарды)</t>
  </si>
  <si>
    <t xml:space="preserve">Мембрана ветро-влагозащитная (стены)</t>
  </si>
  <si>
    <t xml:space="preserve">Пароизоляционная плёнка</t>
  </si>
  <si>
    <t xml:space="preserve">Фольга для парной + алюминиевый скотч</t>
  </si>
  <si>
    <t xml:space="preserve">Гидроизоляция мокрой зоны (обмазочная система)</t>
  </si>
  <si>
    <t xml:space="preserve">ЦСП 12 мм</t>
  </si>
  <si>
    <t xml:space="preserve">Пескобетон М300 для стяжки (≈ 0,55 м³)</t>
  </si>
  <si>
    <t xml:space="preserve">мешок</t>
  </si>
  <si>
    <t xml:space="preserve">стяжка 40–80, 8,3 м²</t>
  </si>
  <si>
    <t xml:space="preserve">Сетка 50×50×3 или фибра, демпферная лента, плёнка</t>
  </si>
  <si>
    <t xml:space="preserve">Гидроизоляция рулонная под стяжку</t>
  </si>
  <si>
    <t xml:space="preserve">Плитка пола и клей (мокрая зона)</t>
  </si>
  <si>
    <t xml:space="preserve">Трап DN50 двухуровневый с сухим затвором (парная)</t>
  </si>
  <si>
    <t xml:space="preserve">Линейный трап 600 мм с сухим затвором (душ)</t>
  </si>
  <si>
    <t xml:space="preserve">Вагонка липа/осина (парная)</t>
  </si>
  <si>
    <t xml:space="preserve">Вагонка хвойная (комнаты, мансарда)</t>
  </si>
  <si>
    <t xml:space="preserve">Имитация бруса (фасад)</t>
  </si>
  <si>
    <t xml:space="preserve">Брусок 20×40 (вентзазоры, обрешётка)</t>
  </si>
  <si>
    <t xml:space="preserve">пог. м</t>
  </si>
  <si>
    <t xml:space="preserve">Доска пола шпунт 28 (сухая зона, мансарда)</t>
  </si>
  <si>
    <t xml:space="preserve">Крепёж, кляймеры, пропитки</t>
  </si>
  <si>
    <t xml:space="preserve">Печь «Диана Скала Порта»</t>
  </si>
  <si>
    <t xml:space="preserve">оценка, уточнить цену</t>
  </si>
  <si>
    <t xml:space="preserve">Камни для каменки</t>
  </si>
  <si>
    <t xml:space="preserve">Сэндвич-дымоход Ø115, нерж. 0,8 мм, утеплённый</t>
  </si>
  <si>
    <t xml:space="preserve">Старт-сэндвич, проходной узел 400×400, разделка, зонт, хомуты</t>
  </si>
  <si>
    <t xml:space="preserve">Экран и основание под печь (нерж. лист, минерит)</t>
  </si>
  <si>
    <t xml:space="preserve">Металл каркаса лестницы (≈ 162 кг)</t>
  </si>
  <si>
    <t xml:space="preserve">оценка, расчёт ЛС-4</t>
  </si>
  <si>
    <t xml:space="preserve">Доска 50×150×6000 для ступеней</t>
  </si>
  <si>
    <t xml:space="preserve">Болты, анкеры, электроды, диски, грунт, эмаль</t>
  </si>
  <si>
    <t xml:space="preserve">Водопровод PP-R, фитинги, краны</t>
  </si>
  <si>
    <t xml:space="preserve">Бойлер 80 л</t>
  </si>
  <si>
    <t xml:space="preserve">Насосная станция с гидробаком и фильтром</t>
  </si>
  <si>
    <t xml:space="preserve">Канализация ПП 50/110 с фасонными частями</t>
  </si>
  <si>
    <t xml:space="preserve">Электрика: кабели, щит, автоматы, УЗО, розетки, светильники IP65</t>
  </si>
  <si>
    <t xml:space="preserve">Конвекторы</t>
  </si>
  <si>
    <t xml:space="preserve">Свая Ø108×2500 с оголовком и монтажом</t>
  </si>
  <si>
    <t xml:space="preserve">Доска 50×150 (опорный брус, балка, лаги, стропила, проступи)</t>
  </si>
  <si>
    <t xml:space="preserve">по 3D-модели + 10 %</t>
  </si>
  <si>
    <t xml:space="preserve">Доска 50×100 (столбы, перила)</t>
  </si>
  <si>
    <t xml:space="preserve">Доска 50×250 (передний прогон, косоуры)</t>
  </si>
  <si>
    <t xml:space="preserve">Террасная доска лиственница 28×140</t>
  </si>
  <si>
    <t xml:space="preserve">Профнастил С-20 0,5 (навес) с планками</t>
  </si>
  <si>
    <t xml:space="preserve">Обрешётка навеса 25×100</t>
  </si>
  <si>
    <t xml:space="preserve">Крепёж: болты M12, глухари, саморезы, уголки</t>
  </si>
  <si>
    <t xml:space="preserve">Масло/антисептик для террасы</t>
  </si>
  <si>
    <t xml:space="preserve">Итого материалы</t>
  </si>
  <si>
    <t xml:space="preserve">Как пользоваться</t>
  </si>
  <si>
    <t xml:space="preserve">• Жёлтые ячейки — исходные данные: количество, цены, работы подрядчика, сроки, месяц оплаты. Остальное считается формулами.</t>
  </si>
  <si>
    <t xml:space="preserve">• Сводка!B3 = 1 — учитывать работы подрядчика; 0 — только материалы (строите сами). Сводка!B4 — резерв на непредвиденное.</t>
  </si>
  <si>
    <t xml:space="preserve">• Синий шрифт — введённые числа; зелёный — ссылки на другой лист; чёрный — формулы.</t>
  </si>
  <si>
    <t xml:space="preserve">• Пиломатериал считается из модели каркаса (альбом вер.33): объём по этапам + запас (Пиломатериал!B2).</t>
  </si>
  <si>
    <t xml:space="preserve">Источники цен (октябрь 2026, ориентир)</t>
  </si>
  <si>
    <t xml:space="preserve">• Доска обрезная естественной влажности 50×100/150/200: 16 500–20 000 ₽/м³ (карточки поставщиков 2026).</t>
  </si>
  <si>
    <t xml:space="preserve">• Свая винтовая Ø108×2500, стенка 4 мм: 3 100–4 000 ₽ за шт. (карточки производителей 2026).</t>
  </si>
  <si>
    <t xml:space="preserve">• Остальные позиции — оценка; перед закупкой уточните у поставщиков и в магазинах.</t>
  </si>
  <si>
    <t xml:space="preserve">Состав этапов — см. PDF «баня. этапы строительства вер.1».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</si>
</sst>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&quot; ₽&quot;;\-#,##0&quot; ₽&quot;;\-"/>
    <numFmt numFmtId="167" formatCode="0.0%"/>
    <numFmt numFmtId="168" formatCode="0.000"/>
    <numFmt numFmtId="169" formatCode="0.#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4EA"/>
        <bgColor rgb="FFD9D9D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DE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Затраты по этапам,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Сводка!E6</c:f>
              <c:strCache>
                <c:ptCount val="1"/>
                <c:pt idx="0">
                  <c:v>Итого по этапу, ₽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Сводка!$A$7:$A$20</c:f>
              <c:strCache>
                <c:ptCount val="14"/>
                <c:pt idx="0">
                  <c:v>Э1</c:v>
                </c:pt>
                <c:pt idx="1">
                  <c:v>Э2</c:v>
                </c:pt>
                <c:pt idx="2">
                  <c:v>Э3</c:v>
                </c:pt>
                <c:pt idx="3">
                  <c:v>Э4</c:v>
                </c:pt>
                <c:pt idx="4">
                  <c:v>Э5</c:v>
                </c:pt>
                <c:pt idx="5">
                  <c:v>Э6</c:v>
                </c:pt>
                <c:pt idx="6">
                  <c:v>Э7</c:v>
                </c:pt>
                <c:pt idx="7">
                  <c:v>Э8</c:v>
                </c:pt>
                <c:pt idx="8">
                  <c:v>Э9</c:v>
                </c:pt>
                <c:pt idx="9">
                  <c:v>Э10</c:v>
                </c:pt>
                <c:pt idx="10">
                  <c:v>Э11</c:v>
                </c:pt>
                <c:pt idx="11">
                  <c:v>Э12</c:v>
                </c:pt>
                <c:pt idx="12">
                  <c:v>Э13</c:v>
                </c:pt>
                <c:pt idx="13">
                  <c:v>Э14</c:v>
                </c:pt>
              </c:strCache>
            </c:strRef>
          </c:cat>
          <c:val>
            <c:numRef>
              <c:f>Сводка!$E$7:$E$20</c:f>
              <c:numCache>
                <c:formatCode>#,##0" ₽";\-#,##0" ₽";\-</c:formatCode>
                <c:ptCount val="14"/>
                <c:pt idx="0">
                  <c:v>127600</c:v>
                </c:pt>
                <c:pt idx="1">
                  <c:v>93000</c:v>
                </c:pt>
                <c:pt idx="2">
                  <c:v>157620</c:v>
                </c:pt>
                <c:pt idx="3">
                  <c:v>128770</c:v>
                </c:pt>
                <c:pt idx="4">
                  <c:v>120796</c:v>
                </c:pt>
                <c:pt idx="5">
                  <c:v>62440</c:v>
                </c:pt>
                <c:pt idx="6">
                  <c:v>29040</c:v>
                </c:pt>
                <c:pt idx="7">
                  <c:v>203100</c:v>
                </c:pt>
                <c:pt idx="8">
                  <c:v>183000</c:v>
                </c:pt>
                <c:pt idx="9">
                  <c:v>568050</c:v>
                </c:pt>
                <c:pt idx="10">
                  <c:v>158650</c:v>
                </c:pt>
                <c:pt idx="11">
                  <c:v>75260</c:v>
                </c:pt>
                <c:pt idx="12">
                  <c:v>144000</c:v>
                </c:pt>
                <c:pt idx="13">
                  <c:v>155158</c:v>
                </c:pt>
              </c:numCache>
            </c:numRef>
          </c:val>
        </c:ser>
        <c:gapWidth val="150"/>
        <c:overlap val="0"/>
        <c:axId val="54964108"/>
        <c:axId val="37038493"/>
      </c:barChart>
      <c:catAx>
        <c:axId val="54964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38493"/>
        <c:crosses val="autoZero"/>
        <c:auto val="1"/>
        <c:lblAlgn val="ctr"/>
        <c:lblOffset val="100"/>
        <c:noMultiLvlLbl val="0"/>
      </c:catAx>
      <c:valAx>
        <c:axId val="37038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₽&quot;;\-#,##0&quot; ₽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64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176040</xdr:rowOff>
    </xdr:from>
    <xdr:to>
      <xdr:col>20</xdr:col>
      <xdr:colOff>364680</xdr:colOff>
      <xdr:row>20</xdr:row>
      <xdr:rowOff>158040</xdr:rowOff>
    </xdr:to>
    <xdr:graphicFrame>
      <xdr:nvGraphicFramePr>
        <xdr:cNvPr id="0" name="Chart 1"/>
        <xdr:cNvGraphicFramePr/>
      </xdr:nvGraphicFramePr>
      <xdr:xfrm>
        <a:off x="11748240" y="952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9"/>
    <col collapsed="false" customWidth="true" hidden="false" outlineLevel="0" max="7" min="7" style="0" width="19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</v>
      </c>
    </row>
    <row r="4" customFormat="false" ht="15" hidden="false" customHeight="false" outlineLevel="0" collapsed="false">
      <c r="A4" s="2" t="s">
        <v>2</v>
      </c>
      <c r="B4" s="4" t="n">
        <v>0.1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customFormat="false" ht="15" hidden="false" customHeight="false" outlineLevel="0" collapsed="false">
      <c r="A7" s="6" t="s">
        <v>12</v>
      </c>
      <c r="B7" s="6" t="s">
        <v>13</v>
      </c>
      <c r="C7" s="7" t="n">
        <f aca="false">SUMIF(Смета!$A$5:$A$107,A7,Смета!$F$5:$F$107)</f>
        <v>102600</v>
      </c>
      <c r="D7" s="8" t="n">
        <v>25000</v>
      </c>
      <c r="E7" s="9" t="n">
        <f aca="false">C7+D7*$B$3</f>
        <v>127600</v>
      </c>
      <c r="F7" s="10" t="n">
        <f aca="false">IF($E$21=0,0,E7/$E$21)</f>
        <v>0.0578295605134685</v>
      </c>
      <c r="G7" s="9" t="n">
        <f aca="false">SUM($E$7:E7)</f>
        <v>127600</v>
      </c>
      <c r="H7" s="11" t="n">
        <v>1</v>
      </c>
      <c r="I7" s="11" t="s">
        <v>14</v>
      </c>
    </row>
    <row r="8" customFormat="false" ht="15" hidden="false" customHeight="false" outlineLevel="0" collapsed="false">
      <c r="A8" s="6" t="s">
        <v>15</v>
      </c>
      <c r="B8" s="6" t="s">
        <v>16</v>
      </c>
      <c r="C8" s="7" t="n">
        <f aca="false">SUMIF(Смета!$A$5:$A$107,A8,Смета!$F$5:$F$107)</f>
        <v>93000</v>
      </c>
      <c r="D8" s="8" t="n">
        <v>0</v>
      </c>
      <c r="E8" s="9" t="n">
        <f aca="false">C8+D8*$B$3</f>
        <v>93000</v>
      </c>
      <c r="F8" s="10" t="n">
        <f aca="false">IF($E$21=0,0,E8/$E$21)</f>
        <v>0.0421485041359919</v>
      </c>
      <c r="G8" s="9" t="n">
        <f aca="false">SUM($E$7:E8)</f>
        <v>220600</v>
      </c>
      <c r="H8" s="11" t="n">
        <v>0.5</v>
      </c>
      <c r="I8" s="11" t="s">
        <v>14</v>
      </c>
    </row>
    <row r="9" customFormat="false" ht="15" hidden="false" customHeight="false" outlineLevel="0" collapsed="false">
      <c r="A9" s="6" t="s">
        <v>17</v>
      </c>
      <c r="B9" s="6" t="s">
        <v>18</v>
      </c>
      <c r="C9" s="7" t="n">
        <f aca="false">SUMIF(Смета!$A$5:$A$107,A9,Смета!$F$5:$F$107)</f>
        <v>112620</v>
      </c>
      <c r="D9" s="8" t="n">
        <v>45000</v>
      </c>
      <c r="E9" s="9" t="n">
        <f aca="false">C9+D9*$B$3</f>
        <v>157620</v>
      </c>
      <c r="F9" s="10" t="n">
        <f aca="false">IF($E$21=0,0,E9/$E$21)</f>
        <v>0.0714349163646779</v>
      </c>
      <c r="G9" s="9" t="n">
        <f aca="false">SUM($E$7:E9)</f>
        <v>378220</v>
      </c>
      <c r="H9" s="11" t="n">
        <v>1</v>
      </c>
      <c r="I9" s="11" t="s">
        <v>19</v>
      </c>
    </row>
    <row r="10" customFormat="false" ht="15" hidden="false" customHeight="false" outlineLevel="0" collapsed="false">
      <c r="A10" s="6" t="s">
        <v>20</v>
      </c>
      <c r="B10" s="6" t="s">
        <v>21</v>
      </c>
      <c r="C10" s="7" t="n">
        <f aca="false">SUMIF(Смета!$A$5:$A$107,A10,Смета!$F$5:$F$107)</f>
        <v>68770</v>
      </c>
      <c r="D10" s="8" t="n">
        <v>60000</v>
      </c>
      <c r="E10" s="9" t="n">
        <f aca="false">C10+D10*$B$3</f>
        <v>128770</v>
      </c>
      <c r="F10" s="10" t="n">
        <f aca="false">IF($E$21=0,0,E10/$E$21)</f>
        <v>0.0583598158880826</v>
      </c>
      <c r="G10" s="9" t="n">
        <f aca="false">SUM($E$7:E10)</f>
        <v>506990</v>
      </c>
      <c r="H10" s="11" t="n">
        <v>1</v>
      </c>
      <c r="I10" s="11" t="s">
        <v>19</v>
      </c>
    </row>
    <row r="11" customFormat="false" ht="15" hidden="false" customHeight="false" outlineLevel="0" collapsed="false">
      <c r="A11" s="6" t="s">
        <v>22</v>
      </c>
      <c r="B11" s="6" t="s">
        <v>23</v>
      </c>
      <c r="C11" s="7" t="n">
        <f aca="false">SUMIF(Смета!$A$5:$A$107,A11,Смета!$F$5:$F$107)</f>
        <v>85796</v>
      </c>
      <c r="D11" s="8" t="n">
        <v>35000</v>
      </c>
      <c r="E11" s="9" t="n">
        <f aca="false">C11+D11*$B$3</f>
        <v>120796</v>
      </c>
      <c r="F11" s="10" t="n">
        <f aca="false">IF($E$21=0,0,E11/$E$21)</f>
        <v>0.0547459215657127</v>
      </c>
      <c r="G11" s="9" t="n">
        <f aca="false">SUM($E$7:E11)</f>
        <v>627786</v>
      </c>
      <c r="H11" s="11" t="n">
        <v>0.5</v>
      </c>
      <c r="I11" s="11" t="s">
        <v>24</v>
      </c>
    </row>
    <row r="12" customFormat="false" ht="15" hidden="false" customHeight="false" outlineLevel="0" collapsed="false">
      <c r="A12" s="6" t="s">
        <v>25</v>
      </c>
      <c r="B12" s="6" t="s">
        <v>26</v>
      </c>
      <c r="C12" s="7" t="n">
        <f aca="false">SUMIF(Смета!$A$5:$A$107,A12,Смета!$F$5:$F$107)</f>
        <v>22440</v>
      </c>
      <c r="D12" s="8" t="n">
        <v>40000</v>
      </c>
      <c r="E12" s="9" t="n">
        <f aca="false">C12+D12*$B$3</f>
        <v>62440</v>
      </c>
      <c r="F12" s="10" t="n">
        <f aca="false">IF($E$21=0,0,E12/$E$21)</f>
        <v>0.0282984150349606</v>
      </c>
      <c r="G12" s="9" t="n">
        <f aca="false">SUM($E$7:E12)</f>
        <v>690226</v>
      </c>
      <c r="H12" s="11" t="n">
        <v>0.5</v>
      </c>
      <c r="I12" s="11" t="s">
        <v>24</v>
      </c>
    </row>
    <row r="13" customFormat="false" ht="15" hidden="false" customHeight="false" outlineLevel="0" collapsed="false">
      <c r="A13" s="6" t="s">
        <v>27</v>
      </c>
      <c r="B13" s="6" t="s">
        <v>28</v>
      </c>
      <c r="C13" s="7" t="n">
        <f aca="false">SUMIF(Смета!$A$5:$A$107,A13,Смета!$F$5:$F$107)</f>
        <v>21040</v>
      </c>
      <c r="D13" s="8" t="n">
        <v>8000</v>
      </c>
      <c r="E13" s="9" t="n">
        <f aca="false">C13+D13*$B$3</f>
        <v>29040</v>
      </c>
      <c r="F13" s="10" t="n">
        <f aca="false">IF($E$21=0,0,E13/$E$21)</f>
        <v>0.0131612103237549</v>
      </c>
      <c r="G13" s="9" t="n">
        <f aca="false">SUM($E$7:E13)</f>
        <v>719266</v>
      </c>
      <c r="H13" s="11" t="n">
        <v>0.3</v>
      </c>
      <c r="I13" s="11" t="s">
        <v>29</v>
      </c>
    </row>
    <row r="14" customFormat="false" ht="15" hidden="false" customHeight="false" outlineLevel="0" collapsed="false">
      <c r="A14" s="6" t="s">
        <v>30</v>
      </c>
      <c r="B14" s="6" t="s">
        <v>31</v>
      </c>
      <c r="C14" s="7" t="n">
        <f aca="false">SUMIF(Смета!$A$5:$A$107,A14,Смета!$F$5:$F$107)</f>
        <v>123100</v>
      </c>
      <c r="D14" s="8" t="n">
        <v>80000</v>
      </c>
      <c r="E14" s="9" t="n">
        <f aca="false">C14+D14*$B$3</f>
        <v>203100</v>
      </c>
      <c r="F14" s="10" t="n">
        <f aca="false">IF($E$21=0,0,E14/$E$21)</f>
        <v>0.0920468945163437</v>
      </c>
      <c r="G14" s="9" t="n">
        <f aca="false">SUM($E$7:E14)</f>
        <v>922366</v>
      </c>
      <c r="H14" s="11" t="n">
        <v>1.5</v>
      </c>
      <c r="I14" s="11" t="s">
        <v>29</v>
      </c>
    </row>
    <row r="15" customFormat="false" ht="15" hidden="false" customHeight="false" outlineLevel="0" collapsed="false">
      <c r="A15" s="6" t="s">
        <v>32</v>
      </c>
      <c r="B15" s="6" t="s">
        <v>33</v>
      </c>
      <c r="C15" s="7" t="n">
        <f aca="false">SUMIF(Смета!$A$5:$A$107,A15,Смета!$F$5:$F$107)</f>
        <v>158000</v>
      </c>
      <c r="D15" s="8" t="n">
        <v>25000</v>
      </c>
      <c r="E15" s="9" t="n">
        <f aca="false">C15+D15*$B$3</f>
        <v>183000</v>
      </c>
      <c r="F15" s="10" t="n">
        <f aca="false">IF($E$21=0,0,E15/$E$21)</f>
        <v>0.0829373791063067</v>
      </c>
      <c r="G15" s="9" t="n">
        <f aca="false">SUM($E$7:E15)</f>
        <v>1105366</v>
      </c>
      <c r="H15" s="11" t="n">
        <v>0.5</v>
      </c>
      <c r="I15" s="11" t="s">
        <v>34</v>
      </c>
    </row>
    <row r="16" customFormat="false" ht="15" hidden="false" customHeight="false" outlineLevel="0" collapsed="false">
      <c r="A16" s="6" t="s">
        <v>35</v>
      </c>
      <c r="B16" s="6" t="s">
        <v>36</v>
      </c>
      <c r="C16" s="7" t="n">
        <f aca="false">SUMIF(Смета!$A$5:$A$107,A16,Смета!$F$5:$F$107)</f>
        <v>428050</v>
      </c>
      <c r="D16" s="8" t="n">
        <v>140000</v>
      </c>
      <c r="E16" s="9" t="n">
        <f aca="false">C16+D16*$B$3</f>
        <v>568050</v>
      </c>
      <c r="F16" s="10" t="n">
        <f aca="false">IF($E$21=0,0,E16/$E$21)</f>
        <v>0.25744578252097</v>
      </c>
      <c r="G16" s="9" t="n">
        <f aca="false">SUM($E$7:E16)</f>
        <v>1673416</v>
      </c>
      <c r="H16" s="11" t="n">
        <v>3</v>
      </c>
      <c r="I16" s="11" t="s">
        <v>34</v>
      </c>
    </row>
    <row r="17" customFormat="false" ht="15" hidden="false" customHeight="false" outlineLevel="0" collapsed="false">
      <c r="A17" s="6" t="s">
        <v>37</v>
      </c>
      <c r="B17" s="6" t="s">
        <v>38</v>
      </c>
      <c r="C17" s="7" t="n">
        <f aca="false">SUMIF(Смета!$A$5:$A$107,A17,Смета!$F$5:$F$107)</f>
        <v>133650</v>
      </c>
      <c r="D17" s="8" t="n">
        <v>25000</v>
      </c>
      <c r="E17" s="9" t="n">
        <f aca="false">C17+D17*$B$3</f>
        <v>158650</v>
      </c>
      <c r="F17" s="10" t="n">
        <f aca="false">IF($E$21=0,0,E17/$E$21)</f>
        <v>0.0719017223782271</v>
      </c>
      <c r="G17" s="9" t="n">
        <f aca="false">SUM($E$7:E17)</f>
        <v>1832066</v>
      </c>
      <c r="H17" s="11" t="n">
        <v>0.5</v>
      </c>
      <c r="I17" s="11" t="s">
        <v>39</v>
      </c>
    </row>
    <row r="18" customFormat="false" ht="15" hidden="false" customHeight="false" outlineLevel="0" collapsed="false">
      <c r="A18" s="6" t="s">
        <v>40</v>
      </c>
      <c r="B18" s="6" t="s">
        <v>41</v>
      </c>
      <c r="C18" s="7" t="n">
        <f aca="false">SUMIF(Смета!$A$5:$A$107,A18,Смета!$F$5:$F$107)</f>
        <v>30260</v>
      </c>
      <c r="D18" s="8" t="n">
        <v>45000</v>
      </c>
      <c r="E18" s="9" t="n">
        <f aca="false">C18+D18*$B$3</f>
        <v>75260</v>
      </c>
      <c r="F18" s="10" t="n">
        <f aca="false">IF($E$21=0,0,E18/$E$21)</f>
        <v>0.034108563669621</v>
      </c>
      <c r="G18" s="9" t="n">
        <f aca="false">SUM($E$7:E18)</f>
        <v>1907326</v>
      </c>
      <c r="H18" s="11" t="n">
        <v>1</v>
      </c>
      <c r="I18" s="11" t="s">
        <v>39</v>
      </c>
    </row>
    <row r="19" customFormat="false" ht="15" hidden="false" customHeight="false" outlineLevel="0" collapsed="false">
      <c r="A19" s="6" t="s">
        <v>42</v>
      </c>
      <c r="B19" s="6" t="s">
        <v>43</v>
      </c>
      <c r="C19" s="7" t="n">
        <f aca="false">SUMIF(Смета!$A$5:$A$107,A19,Смета!$F$5:$F$107)</f>
        <v>84000</v>
      </c>
      <c r="D19" s="8" t="n">
        <v>60000</v>
      </c>
      <c r="E19" s="9" t="n">
        <f aca="false">C19+D19*$B$3</f>
        <v>144000</v>
      </c>
      <c r="F19" s="10" t="n">
        <f aca="false">IF($E$21=0,0,E19/$E$21)</f>
        <v>0.0652621999525036</v>
      </c>
      <c r="G19" s="9" t="n">
        <f aca="false">SUM($E$7:E19)</f>
        <v>2051326</v>
      </c>
      <c r="H19" s="11" t="n">
        <v>1</v>
      </c>
      <c r="I19" s="11" t="s">
        <v>44</v>
      </c>
    </row>
    <row r="20" customFormat="false" ht="15" hidden="false" customHeight="false" outlineLevel="0" collapsed="false">
      <c r="A20" s="6" t="s">
        <v>45</v>
      </c>
      <c r="B20" s="6" t="s">
        <v>46</v>
      </c>
      <c r="C20" s="7" t="n">
        <f aca="false">SUMIF(Смета!$A$5:$A$107,A20,Смета!$F$5:$F$107)</f>
        <v>95158</v>
      </c>
      <c r="D20" s="8" t="n">
        <v>60000</v>
      </c>
      <c r="E20" s="9" t="n">
        <f aca="false">C20+D20*$B$3</f>
        <v>155158</v>
      </c>
      <c r="F20" s="10" t="n">
        <f aca="false">IF($E$21=0,0,E20/$E$21)</f>
        <v>0.0703191140293789</v>
      </c>
      <c r="G20" s="9" t="n">
        <f aca="false">SUM($E$7:E20)</f>
        <v>2206484</v>
      </c>
      <c r="H20" s="11" t="n">
        <v>1</v>
      </c>
      <c r="I20" s="11" t="s">
        <v>44</v>
      </c>
    </row>
    <row r="21" customFormat="false" ht="15" hidden="false" customHeight="false" outlineLevel="0" collapsed="false">
      <c r="A21" s="12"/>
      <c r="B21" s="12" t="s">
        <v>47</v>
      </c>
      <c r="C21" s="13" t="n">
        <f aca="false">SUM(C7:C20)</f>
        <v>1558484</v>
      </c>
      <c r="D21" s="13" t="n">
        <f aca="false">SUM(D7:D20)</f>
        <v>648000</v>
      </c>
      <c r="E21" s="13" t="n">
        <f aca="false">SUM(E7:E20)</f>
        <v>2206484</v>
      </c>
      <c r="F21" s="12"/>
      <c r="G21" s="12"/>
      <c r="H21" s="12" t="n">
        <f aca="false">SUM(H7:H20)</f>
        <v>13.3</v>
      </c>
      <c r="I21" s="12"/>
    </row>
    <row r="22" customFormat="false" ht="15" hidden="false" customHeight="false" outlineLevel="0" collapsed="false">
      <c r="A22" s="12"/>
      <c r="B22" s="12" t="s">
        <v>2</v>
      </c>
      <c r="C22" s="13"/>
      <c r="D22" s="13"/>
      <c r="E22" s="13" t="n">
        <f aca="false">E21*$B$4</f>
        <v>220648.4</v>
      </c>
      <c r="F22" s="12"/>
      <c r="G22" s="12"/>
      <c r="H22" s="12"/>
      <c r="I22" s="12"/>
    </row>
    <row r="23" customFormat="false" ht="15" hidden="false" customHeight="false" outlineLevel="0" collapsed="false">
      <c r="A23" s="12"/>
      <c r="B23" s="12" t="s">
        <v>48</v>
      </c>
      <c r="C23" s="13"/>
      <c r="D23" s="13"/>
      <c r="E23" s="13" t="n">
        <f aca="false">E21+E22</f>
        <v>2427132.4</v>
      </c>
      <c r="F23" s="12"/>
      <c r="G23" s="12"/>
      <c r="H23" s="12"/>
      <c r="I23" s="12"/>
    </row>
    <row r="24" customFormat="false" ht="15" hidden="false" customHeight="false" outlineLevel="0" collapsed="false">
      <c r="A24" s="12"/>
      <c r="B24" s="12" t="s">
        <v>49</v>
      </c>
      <c r="C24" s="13"/>
      <c r="D24" s="13"/>
      <c r="E24" s="13" t="n">
        <f aca="false">C21*(1+$B$4)</f>
        <v>1714332.4</v>
      </c>
      <c r="F24" s="12"/>
      <c r="G24" s="12"/>
      <c r="H24" s="12"/>
      <c r="I24" s="12"/>
    </row>
    <row r="26" customFormat="false" ht="15" hidden="false" customHeight="false" outlineLevel="0" collapsed="false">
      <c r="A26" s="14" t="s">
        <v>50</v>
      </c>
    </row>
    <row r="27" customFormat="false" ht="15" hidden="false" customHeight="false" outlineLevel="0" collapsed="false">
      <c r="A27" s="1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5" t="s">
        <v>52</v>
      </c>
    </row>
    <row r="2" customFormat="false" ht="15" hidden="false" customHeight="false" outlineLevel="0" collapsed="false">
      <c r="A2" s="0" t="s">
        <v>53</v>
      </c>
      <c r="B2" s="16" t="n">
        <v>0.1</v>
      </c>
    </row>
    <row r="4" customFormat="false" ht="26.85" hidden="false" customHeight="false" outlineLevel="0" collapsed="false">
      <c r="A4" s="17" t="s">
        <v>4</v>
      </c>
      <c r="B4" s="17" t="s">
        <v>54</v>
      </c>
      <c r="C4" s="17" t="s">
        <v>55</v>
      </c>
      <c r="D4" s="17" t="s">
        <v>56</v>
      </c>
      <c r="E4" s="17" t="s">
        <v>57</v>
      </c>
      <c r="F4" s="17" t="s">
        <v>58</v>
      </c>
    </row>
    <row r="5" customFormat="false" ht="15" hidden="false" customHeight="false" outlineLevel="0" collapsed="false">
      <c r="A5" s="18" t="s">
        <v>17</v>
      </c>
      <c r="B5" s="18" t="s">
        <v>59</v>
      </c>
      <c r="C5" s="19" t="n">
        <v>72</v>
      </c>
      <c r="D5" s="19" t="n">
        <v>187.2</v>
      </c>
      <c r="E5" s="20" t="n">
        <v>1.404</v>
      </c>
      <c r="F5" s="21" t="n">
        <f aca="false">ROUND(E5*(1+$B$2),3)</f>
        <v>1.544</v>
      </c>
    </row>
    <row r="6" customFormat="false" ht="15" hidden="false" customHeight="false" outlineLevel="0" collapsed="false">
      <c r="A6" s="18" t="s">
        <v>20</v>
      </c>
      <c r="B6" s="18" t="s">
        <v>60</v>
      </c>
      <c r="C6" s="19" t="n">
        <v>182</v>
      </c>
      <c r="D6" s="19" t="n">
        <v>338.1</v>
      </c>
      <c r="E6" s="20" t="n">
        <v>1.69</v>
      </c>
      <c r="F6" s="21" t="n">
        <f aca="false">ROUND(E6*(1+$B$2),3)</f>
        <v>1.859</v>
      </c>
    </row>
    <row r="7" customFormat="false" ht="15" hidden="false" customHeight="false" outlineLevel="0" collapsed="false">
      <c r="A7" s="18" t="s">
        <v>22</v>
      </c>
      <c r="B7" s="18" t="s">
        <v>61</v>
      </c>
      <c r="C7" s="19" t="n">
        <v>55</v>
      </c>
      <c r="D7" s="19" t="n">
        <v>133</v>
      </c>
      <c r="E7" s="20" t="n">
        <v>1.662</v>
      </c>
      <c r="F7" s="21" t="n">
        <f aca="false">ROUND(E7*(1+$B$2),3)</f>
        <v>1.828</v>
      </c>
    </row>
    <row r="8" customFormat="false" ht="15" hidden="false" customHeight="false" outlineLevel="0" collapsed="false">
      <c r="A8" s="18" t="s">
        <v>25</v>
      </c>
      <c r="B8" s="18" t="s">
        <v>60</v>
      </c>
      <c r="C8" s="19" t="n">
        <v>68</v>
      </c>
      <c r="D8" s="19" t="n">
        <v>104.2</v>
      </c>
      <c r="E8" s="20" t="n">
        <v>0.521</v>
      </c>
      <c r="F8" s="21" t="n">
        <f aca="false">ROUND(E8*(1+$B$2),3)</f>
        <v>0.573</v>
      </c>
    </row>
    <row r="9" customFormat="false" ht="15" hidden="false" customHeight="false" outlineLevel="0" collapsed="false">
      <c r="A9" s="18" t="s">
        <v>27</v>
      </c>
      <c r="B9" s="18" t="s">
        <v>62</v>
      </c>
      <c r="C9" s="19" t="n">
        <v>4</v>
      </c>
      <c r="D9" s="19" t="n">
        <v>18.4</v>
      </c>
      <c r="E9" s="20" t="n">
        <v>0.276</v>
      </c>
      <c r="F9" s="21" t="n">
        <f aca="false">ROUND(E9*(1+$B$2),3)</f>
        <v>0.304</v>
      </c>
    </row>
    <row r="10" customFormat="false" ht="15" hidden="false" customHeight="false" outlineLevel="0" collapsed="false">
      <c r="A10" s="18" t="s">
        <v>30</v>
      </c>
      <c r="B10" s="18" t="s">
        <v>60</v>
      </c>
      <c r="C10" s="19" t="n">
        <v>4</v>
      </c>
      <c r="D10" s="19" t="n">
        <v>22</v>
      </c>
      <c r="E10" s="20" t="n">
        <v>0.11</v>
      </c>
      <c r="F10" s="21" t="n">
        <f aca="false">ROUND(E10*(1+$B$2),3)</f>
        <v>0.121</v>
      </c>
    </row>
    <row r="11" customFormat="false" ht="15" hidden="false" customHeight="false" outlineLevel="0" collapsed="false">
      <c r="A11" s="18" t="s">
        <v>30</v>
      </c>
      <c r="B11" s="18" t="s">
        <v>61</v>
      </c>
      <c r="C11" s="19" t="n">
        <v>27</v>
      </c>
      <c r="D11" s="19" t="n">
        <v>106.9</v>
      </c>
      <c r="E11" s="20" t="n">
        <v>1.336</v>
      </c>
      <c r="F11" s="21" t="n">
        <f aca="false">ROUND(E11*(1+$B$2),3)</f>
        <v>1.47</v>
      </c>
    </row>
    <row r="12" customFormat="false" ht="15" hidden="false" customHeight="false" outlineLevel="0" collapsed="false">
      <c r="A12" s="22" t="s">
        <v>63</v>
      </c>
      <c r="E12" s="23" t="n">
        <f aca="false">SUM(E5:E11)</f>
        <v>6.999</v>
      </c>
      <c r="F12" s="23" t="n">
        <f aca="false">SUM(F5:F11)</f>
        <v>7.699</v>
      </c>
    </row>
    <row r="14" customFormat="false" ht="15" hidden="false" customHeight="false" outlineLevel="0" collapsed="false">
      <c r="A14" s="1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38"/>
  </cols>
  <sheetData>
    <row r="1" customFormat="false" ht="15" hidden="false" customHeight="false" outlineLevel="0" collapsed="false">
      <c r="A1" s="15" t="s">
        <v>65</v>
      </c>
    </row>
    <row r="2" customFormat="false" ht="15" hidden="false" customHeight="false" outlineLevel="0" collapsed="false">
      <c r="A2" s="14" t="s">
        <v>66</v>
      </c>
    </row>
    <row r="4" customFormat="false" ht="26.85" hidden="false" customHeight="false" outlineLevel="0" collapsed="false">
      <c r="A4" s="5" t="s">
        <v>4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</row>
    <row r="5" customFormat="false" ht="15" hidden="false" customHeight="false" outlineLevel="0" collapsed="false">
      <c r="A5" s="6" t="s">
        <v>12</v>
      </c>
      <c r="B5" s="6" t="s">
        <v>73</v>
      </c>
      <c r="C5" s="6" t="s">
        <v>74</v>
      </c>
      <c r="D5" s="24" t="n">
        <v>1</v>
      </c>
      <c r="E5" s="8" t="n">
        <v>15000</v>
      </c>
      <c r="F5" s="9" t="n">
        <f aca="false">D5*E5</f>
        <v>15000</v>
      </c>
      <c r="G5" s="6" t="s">
        <v>75</v>
      </c>
    </row>
    <row r="6" customFormat="false" ht="15" hidden="false" customHeight="false" outlineLevel="0" collapsed="false">
      <c r="A6" s="6" t="s">
        <v>12</v>
      </c>
      <c r="B6" s="6" t="s">
        <v>76</v>
      </c>
      <c r="C6" s="6" t="s">
        <v>77</v>
      </c>
      <c r="D6" s="24" t="n">
        <v>20</v>
      </c>
      <c r="E6" s="8" t="n">
        <v>600</v>
      </c>
      <c r="F6" s="9" t="n">
        <f aca="false">D6*E6</f>
        <v>12000</v>
      </c>
      <c r="G6" s="6" t="s">
        <v>78</v>
      </c>
    </row>
    <row r="7" customFormat="false" ht="15" hidden="false" customHeight="false" outlineLevel="0" collapsed="false">
      <c r="A7" s="6" t="s">
        <v>12</v>
      </c>
      <c r="B7" s="6" t="s">
        <v>79</v>
      </c>
      <c r="C7" s="6" t="s">
        <v>77</v>
      </c>
      <c r="D7" s="24" t="n">
        <v>20</v>
      </c>
      <c r="E7" s="8" t="n">
        <v>450</v>
      </c>
      <c r="F7" s="9" t="n">
        <f aca="false">D7*E7</f>
        <v>9000</v>
      </c>
      <c r="G7" s="6" t="s">
        <v>75</v>
      </c>
    </row>
    <row r="8" customFormat="false" ht="15" hidden="false" customHeight="false" outlineLevel="0" collapsed="false">
      <c r="A8" s="6" t="s">
        <v>12</v>
      </c>
      <c r="B8" s="6" t="s">
        <v>80</v>
      </c>
      <c r="C8" s="6" t="s">
        <v>81</v>
      </c>
      <c r="D8" s="24" t="n">
        <v>2</v>
      </c>
      <c r="E8" s="8" t="n">
        <v>1800</v>
      </c>
      <c r="F8" s="9" t="n">
        <f aca="false">D8*E8</f>
        <v>3600</v>
      </c>
      <c r="G8" s="6" t="s">
        <v>75</v>
      </c>
    </row>
    <row r="9" customFormat="false" ht="15" hidden="false" customHeight="false" outlineLevel="0" collapsed="false">
      <c r="A9" s="6" t="s">
        <v>12</v>
      </c>
      <c r="B9" s="6" t="s">
        <v>82</v>
      </c>
      <c r="C9" s="6" t="s">
        <v>77</v>
      </c>
      <c r="D9" s="24" t="n">
        <v>20</v>
      </c>
      <c r="E9" s="8" t="n">
        <v>500</v>
      </c>
      <c r="F9" s="9" t="n">
        <f aca="false">D9*E9</f>
        <v>10000</v>
      </c>
      <c r="G9" s="6" t="s">
        <v>83</v>
      </c>
    </row>
    <row r="10" customFormat="false" ht="15" hidden="false" customHeight="false" outlineLevel="0" collapsed="false">
      <c r="A10" s="6" t="s">
        <v>12</v>
      </c>
      <c r="B10" s="6" t="s">
        <v>84</v>
      </c>
      <c r="C10" s="6" t="s">
        <v>77</v>
      </c>
      <c r="D10" s="24" t="n">
        <v>20</v>
      </c>
      <c r="E10" s="8" t="n">
        <v>120</v>
      </c>
      <c r="F10" s="9" t="n">
        <f aca="false">D10*E10</f>
        <v>2400</v>
      </c>
      <c r="G10" s="6" t="s">
        <v>75</v>
      </c>
    </row>
    <row r="11" customFormat="false" ht="15" hidden="false" customHeight="false" outlineLevel="0" collapsed="false">
      <c r="A11" s="6" t="s">
        <v>12</v>
      </c>
      <c r="B11" s="6" t="s">
        <v>85</v>
      </c>
      <c r="C11" s="6" t="s">
        <v>77</v>
      </c>
      <c r="D11" s="24" t="n">
        <v>20</v>
      </c>
      <c r="E11" s="8" t="n">
        <v>900</v>
      </c>
      <c r="F11" s="9" t="n">
        <f aca="false">D11*E11</f>
        <v>18000</v>
      </c>
      <c r="G11" s="6" t="s">
        <v>75</v>
      </c>
    </row>
    <row r="12" customFormat="false" ht="15" hidden="false" customHeight="false" outlineLevel="0" collapsed="false">
      <c r="A12" s="6" t="s">
        <v>12</v>
      </c>
      <c r="B12" s="6" t="s">
        <v>86</v>
      </c>
      <c r="C12" s="6" t="s">
        <v>77</v>
      </c>
      <c r="D12" s="24" t="n">
        <v>20</v>
      </c>
      <c r="E12" s="8" t="n">
        <v>250</v>
      </c>
      <c r="F12" s="9" t="n">
        <f aca="false">D12*E12</f>
        <v>5000</v>
      </c>
      <c r="G12" s="6" t="s">
        <v>75</v>
      </c>
    </row>
    <row r="13" customFormat="false" ht="15" hidden="false" customHeight="false" outlineLevel="0" collapsed="false">
      <c r="A13" s="6" t="s">
        <v>12</v>
      </c>
      <c r="B13" s="6" t="s">
        <v>87</v>
      </c>
      <c r="C13" s="6" t="s">
        <v>74</v>
      </c>
      <c r="D13" s="24" t="n">
        <v>1</v>
      </c>
      <c r="E13" s="8" t="n">
        <v>3000</v>
      </c>
      <c r="F13" s="9" t="n">
        <f aca="false">D13*E13</f>
        <v>3000</v>
      </c>
      <c r="G13" s="6" t="s">
        <v>75</v>
      </c>
    </row>
    <row r="14" customFormat="false" ht="15" hidden="false" customHeight="false" outlineLevel="0" collapsed="false">
      <c r="A14" s="6" t="s">
        <v>12</v>
      </c>
      <c r="B14" s="6" t="s">
        <v>88</v>
      </c>
      <c r="C14" s="6" t="s">
        <v>77</v>
      </c>
      <c r="D14" s="24" t="n">
        <v>30</v>
      </c>
      <c r="E14" s="8" t="n">
        <v>420</v>
      </c>
      <c r="F14" s="9" t="n">
        <f aca="false">D14*E14</f>
        <v>12600</v>
      </c>
      <c r="G14" s="6" t="s">
        <v>89</v>
      </c>
    </row>
    <row r="15" customFormat="false" ht="15" hidden="false" customHeight="false" outlineLevel="0" collapsed="false">
      <c r="A15" s="6" t="s">
        <v>12</v>
      </c>
      <c r="B15" s="6" t="s">
        <v>90</v>
      </c>
      <c r="C15" s="6" t="s">
        <v>74</v>
      </c>
      <c r="D15" s="24" t="n">
        <v>1</v>
      </c>
      <c r="E15" s="8" t="n">
        <v>12000</v>
      </c>
      <c r="F15" s="9" t="n">
        <f aca="false">D15*E15</f>
        <v>12000</v>
      </c>
      <c r="G15" s="6" t="s">
        <v>75</v>
      </c>
    </row>
    <row r="16" customFormat="false" ht="15" hidden="false" customHeight="false" outlineLevel="0" collapsed="false">
      <c r="A16" s="6" t="s">
        <v>15</v>
      </c>
      <c r="B16" s="6" t="s">
        <v>91</v>
      </c>
      <c r="C16" s="6" t="s">
        <v>92</v>
      </c>
      <c r="D16" s="24" t="n">
        <v>14</v>
      </c>
      <c r="E16" s="8" t="n">
        <v>3600</v>
      </c>
      <c r="F16" s="9" t="n">
        <f aca="false">D16*E16</f>
        <v>50400</v>
      </c>
      <c r="G16" s="6" t="s">
        <v>93</v>
      </c>
    </row>
    <row r="17" customFormat="false" ht="15" hidden="false" customHeight="false" outlineLevel="0" collapsed="false">
      <c r="A17" s="6" t="s">
        <v>15</v>
      </c>
      <c r="B17" s="6" t="s">
        <v>94</v>
      </c>
      <c r="C17" s="6" t="s">
        <v>92</v>
      </c>
      <c r="D17" s="24" t="n">
        <v>14</v>
      </c>
      <c r="E17" s="8" t="n">
        <v>400</v>
      </c>
      <c r="F17" s="9" t="n">
        <f aca="false">D17*E17</f>
        <v>5600</v>
      </c>
      <c r="G17" s="6" t="s">
        <v>75</v>
      </c>
    </row>
    <row r="18" customFormat="false" ht="15" hidden="false" customHeight="false" outlineLevel="0" collapsed="false">
      <c r="A18" s="6" t="s">
        <v>15</v>
      </c>
      <c r="B18" s="6" t="s">
        <v>95</v>
      </c>
      <c r="C18" s="6" t="s">
        <v>92</v>
      </c>
      <c r="D18" s="24" t="n">
        <v>14</v>
      </c>
      <c r="E18" s="8" t="n">
        <v>2500</v>
      </c>
      <c r="F18" s="9" t="n">
        <f aca="false">D18*E18</f>
        <v>35000</v>
      </c>
      <c r="G18" s="6" t="s">
        <v>75</v>
      </c>
    </row>
    <row r="19" customFormat="false" ht="15" hidden="false" customHeight="false" outlineLevel="0" collapsed="false">
      <c r="A19" s="6" t="s">
        <v>15</v>
      </c>
      <c r="B19" s="6" t="s">
        <v>96</v>
      </c>
      <c r="C19" s="6" t="s">
        <v>74</v>
      </c>
      <c r="D19" s="24" t="n">
        <v>1</v>
      </c>
      <c r="E19" s="8" t="n">
        <v>2000</v>
      </c>
      <c r="F19" s="9" t="n">
        <f aca="false">D19*E19</f>
        <v>2000</v>
      </c>
      <c r="G19" s="6" t="s">
        <v>75</v>
      </c>
    </row>
    <row r="20" customFormat="false" ht="15" hidden="false" customHeight="false" outlineLevel="0" collapsed="false">
      <c r="A20" s="6" t="s">
        <v>17</v>
      </c>
      <c r="B20" s="6" t="s">
        <v>97</v>
      </c>
      <c r="C20" s="6" t="s">
        <v>81</v>
      </c>
      <c r="D20" s="25" t="n">
        <f aca="false">Пиломатериал!F5</f>
        <v>1.544</v>
      </c>
      <c r="E20" s="8" t="n">
        <v>30000</v>
      </c>
      <c r="F20" s="9" t="n">
        <f aca="false">D20*E20</f>
        <v>46320</v>
      </c>
      <c r="G20" s="6" t="s">
        <v>98</v>
      </c>
    </row>
    <row r="21" customFormat="false" ht="15" hidden="false" customHeight="false" outlineLevel="0" collapsed="false">
      <c r="A21" s="6" t="s">
        <v>17</v>
      </c>
      <c r="B21" s="6" t="s">
        <v>99</v>
      </c>
      <c r="C21" s="6" t="s">
        <v>92</v>
      </c>
      <c r="D21" s="24" t="n">
        <v>40</v>
      </c>
      <c r="E21" s="8" t="n">
        <v>150</v>
      </c>
      <c r="F21" s="9" t="n">
        <f aca="false">D21*E21</f>
        <v>6000</v>
      </c>
      <c r="G21" s="6" t="s">
        <v>75</v>
      </c>
    </row>
    <row r="22" customFormat="false" ht="15" hidden="false" customHeight="false" outlineLevel="0" collapsed="false">
      <c r="A22" s="6" t="s">
        <v>17</v>
      </c>
      <c r="B22" s="6" t="s">
        <v>100</v>
      </c>
      <c r="C22" s="6" t="s">
        <v>92</v>
      </c>
      <c r="D22" s="24" t="n">
        <v>40</v>
      </c>
      <c r="E22" s="8" t="n">
        <v>60</v>
      </c>
      <c r="F22" s="9" t="n">
        <f aca="false">D22*E22</f>
        <v>2400</v>
      </c>
      <c r="G22" s="6" t="s">
        <v>75</v>
      </c>
    </row>
    <row r="23" customFormat="false" ht="15" hidden="false" customHeight="false" outlineLevel="0" collapsed="false">
      <c r="A23" s="6" t="s">
        <v>17</v>
      </c>
      <c r="B23" s="6" t="s">
        <v>101</v>
      </c>
      <c r="C23" s="6" t="s">
        <v>102</v>
      </c>
      <c r="D23" s="24" t="n">
        <v>1</v>
      </c>
      <c r="E23" s="8" t="n">
        <v>1500</v>
      </c>
      <c r="F23" s="9" t="n">
        <f aca="false">D23*E23</f>
        <v>1500</v>
      </c>
      <c r="G23" s="6" t="s">
        <v>75</v>
      </c>
    </row>
    <row r="24" customFormat="false" ht="15" hidden="false" customHeight="false" outlineLevel="0" collapsed="false">
      <c r="A24" s="6" t="s">
        <v>17</v>
      </c>
      <c r="B24" s="6" t="s">
        <v>103</v>
      </c>
      <c r="C24" s="6" t="s">
        <v>104</v>
      </c>
      <c r="D24" s="24" t="n">
        <v>20</v>
      </c>
      <c r="E24" s="8" t="n">
        <v>350</v>
      </c>
      <c r="F24" s="9" t="n">
        <f aca="false">D24*E24</f>
        <v>7000</v>
      </c>
      <c r="G24" s="6" t="s">
        <v>75</v>
      </c>
    </row>
    <row r="25" customFormat="false" ht="15" hidden="false" customHeight="false" outlineLevel="0" collapsed="false">
      <c r="A25" s="6" t="s">
        <v>17</v>
      </c>
      <c r="B25" s="6" t="s">
        <v>105</v>
      </c>
      <c r="C25" s="6" t="s">
        <v>81</v>
      </c>
      <c r="D25" s="24" t="n">
        <v>0.25</v>
      </c>
      <c r="E25" s="8" t="n">
        <v>25000</v>
      </c>
      <c r="F25" s="9" t="n">
        <f aca="false">D25*E25</f>
        <v>6250</v>
      </c>
      <c r="G25" s="6" t="s">
        <v>75</v>
      </c>
    </row>
    <row r="26" customFormat="false" ht="15" hidden="false" customHeight="false" outlineLevel="0" collapsed="false">
      <c r="A26" s="6" t="s">
        <v>17</v>
      </c>
      <c r="B26" s="6" t="s">
        <v>106</v>
      </c>
      <c r="C26" s="6" t="s">
        <v>107</v>
      </c>
      <c r="D26" s="24" t="n">
        <v>25</v>
      </c>
      <c r="E26" s="8" t="n">
        <v>90</v>
      </c>
      <c r="F26" s="9" t="n">
        <f aca="false">D26*E26</f>
        <v>2250</v>
      </c>
      <c r="G26" s="6" t="s">
        <v>75</v>
      </c>
    </row>
    <row r="27" customFormat="false" ht="15" hidden="false" customHeight="false" outlineLevel="0" collapsed="false">
      <c r="A27" s="6" t="s">
        <v>17</v>
      </c>
      <c r="B27" s="6" t="s">
        <v>108</v>
      </c>
      <c r="C27" s="6" t="s">
        <v>81</v>
      </c>
      <c r="D27" s="24" t="n">
        <v>2.8</v>
      </c>
      <c r="E27" s="8" t="n">
        <v>4500</v>
      </c>
      <c r="F27" s="9" t="n">
        <f aca="false">D27*E27</f>
        <v>12600</v>
      </c>
      <c r="G27" s="6" t="s">
        <v>75</v>
      </c>
    </row>
    <row r="28" customFormat="false" ht="15" hidden="false" customHeight="false" outlineLevel="0" collapsed="false">
      <c r="A28" s="6" t="s">
        <v>17</v>
      </c>
      <c r="B28" s="6" t="s">
        <v>109</v>
      </c>
      <c r="C28" s="6" t="s">
        <v>107</v>
      </c>
      <c r="D28" s="24" t="n">
        <v>25</v>
      </c>
      <c r="E28" s="8" t="n">
        <v>80</v>
      </c>
      <c r="F28" s="9" t="n">
        <f aca="false">D28*E28</f>
        <v>2000</v>
      </c>
      <c r="G28" s="6" t="s">
        <v>75</v>
      </c>
    </row>
    <row r="29" customFormat="false" ht="15" hidden="false" customHeight="false" outlineLevel="0" collapsed="false">
      <c r="A29" s="6" t="s">
        <v>17</v>
      </c>
      <c r="B29" s="6" t="s">
        <v>110</v>
      </c>
      <c r="C29" s="6" t="s">
        <v>111</v>
      </c>
      <c r="D29" s="24" t="n">
        <v>9</v>
      </c>
      <c r="E29" s="8" t="n">
        <v>2700</v>
      </c>
      <c r="F29" s="9" t="n">
        <f aca="false">D29*E29</f>
        <v>24300</v>
      </c>
      <c r="G29" s="6" t="s">
        <v>75</v>
      </c>
    </row>
    <row r="30" customFormat="false" ht="15" hidden="false" customHeight="false" outlineLevel="0" collapsed="false">
      <c r="A30" s="6" t="s">
        <v>17</v>
      </c>
      <c r="B30" s="6" t="s">
        <v>112</v>
      </c>
      <c r="C30" s="6" t="s">
        <v>113</v>
      </c>
      <c r="D30" s="24" t="n">
        <v>4</v>
      </c>
      <c r="E30" s="8" t="n">
        <v>500</v>
      </c>
      <c r="F30" s="9" t="n">
        <f aca="false">D30*E30</f>
        <v>2000</v>
      </c>
      <c r="G30" s="6" t="s">
        <v>75</v>
      </c>
    </row>
    <row r="31" customFormat="false" ht="15" hidden="false" customHeight="false" outlineLevel="0" collapsed="false">
      <c r="A31" s="6" t="s">
        <v>20</v>
      </c>
      <c r="B31" s="6" t="s">
        <v>114</v>
      </c>
      <c r="C31" s="6" t="s">
        <v>81</v>
      </c>
      <c r="D31" s="25" t="n">
        <f aca="false">Пиломатериал!F6</f>
        <v>1.859</v>
      </c>
      <c r="E31" s="8" t="n">
        <v>30000</v>
      </c>
      <c r="F31" s="9" t="n">
        <f aca="false">D31*E31</f>
        <v>55770</v>
      </c>
      <c r="G31" s="6" t="s">
        <v>98</v>
      </c>
    </row>
    <row r="32" customFormat="false" ht="15" hidden="false" customHeight="false" outlineLevel="0" collapsed="false">
      <c r="A32" s="6" t="s">
        <v>20</v>
      </c>
      <c r="B32" s="6" t="s">
        <v>115</v>
      </c>
      <c r="C32" s="6" t="s">
        <v>92</v>
      </c>
      <c r="D32" s="24" t="n">
        <v>30</v>
      </c>
      <c r="E32" s="8" t="n">
        <v>200</v>
      </c>
      <c r="F32" s="9" t="n">
        <f aca="false">D32*E32</f>
        <v>6000</v>
      </c>
      <c r="G32" s="6" t="s">
        <v>75</v>
      </c>
    </row>
    <row r="33" customFormat="false" ht="15" hidden="false" customHeight="false" outlineLevel="0" collapsed="false">
      <c r="A33" s="6" t="s">
        <v>20</v>
      </c>
      <c r="B33" s="6" t="s">
        <v>116</v>
      </c>
      <c r="C33" s="6" t="s">
        <v>113</v>
      </c>
      <c r="D33" s="24" t="n">
        <v>10</v>
      </c>
      <c r="E33" s="8" t="n">
        <v>450</v>
      </c>
      <c r="F33" s="9" t="n">
        <f aca="false">D33*E33</f>
        <v>4500</v>
      </c>
      <c r="G33" s="6" t="s">
        <v>75</v>
      </c>
    </row>
    <row r="34" customFormat="false" ht="15" hidden="false" customHeight="false" outlineLevel="0" collapsed="false">
      <c r="A34" s="6" t="s">
        <v>20</v>
      </c>
      <c r="B34" s="6" t="s">
        <v>117</v>
      </c>
      <c r="C34" s="6" t="s">
        <v>92</v>
      </c>
      <c r="D34" s="24" t="n">
        <v>50</v>
      </c>
      <c r="E34" s="8" t="n">
        <v>50</v>
      </c>
      <c r="F34" s="9" t="n">
        <f aca="false">D34*E34</f>
        <v>2500</v>
      </c>
      <c r="G34" s="6" t="s">
        <v>75</v>
      </c>
    </row>
    <row r="35" customFormat="false" ht="15" hidden="false" customHeight="false" outlineLevel="0" collapsed="false">
      <c r="A35" s="6" t="s">
        <v>22</v>
      </c>
      <c r="B35" s="6" t="s">
        <v>118</v>
      </c>
      <c r="C35" s="6" t="s">
        <v>81</v>
      </c>
      <c r="D35" s="25" t="n">
        <f aca="false">Пиломатериал!F7</f>
        <v>1.828</v>
      </c>
      <c r="E35" s="8" t="n">
        <v>32000</v>
      </c>
      <c r="F35" s="9" t="n">
        <f aca="false">D35*E35</f>
        <v>58496</v>
      </c>
      <c r="G35" s="6" t="s">
        <v>98</v>
      </c>
    </row>
    <row r="36" customFormat="false" ht="15" hidden="false" customHeight="false" outlineLevel="0" collapsed="false">
      <c r="A36" s="6" t="s">
        <v>22</v>
      </c>
      <c r="B36" s="6" t="s">
        <v>119</v>
      </c>
      <c r="C36" s="6" t="s">
        <v>111</v>
      </c>
      <c r="D36" s="24" t="n">
        <v>8</v>
      </c>
      <c r="E36" s="8" t="n">
        <v>2700</v>
      </c>
      <c r="F36" s="9" t="n">
        <f aca="false">D36*E36</f>
        <v>21600</v>
      </c>
      <c r="G36" s="6" t="s">
        <v>75</v>
      </c>
    </row>
    <row r="37" customFormat="false" ht="15" hidden="false" customHeight="false" outlineLevel="0" collapsed="false">
      <c r="A37" s="6" t="s">
        <v>22</v>
      </c>
      <c r="B37" s="6" t="s">
        <v>120</v>
      </c>
      <c r="C37" s="6" t="s">
        <v>92</v>
      </c>
      <c r="D37" s="24" t="n">
        <v>60</v>
      </c>
      <c r="E37" s="8" t="n">
        <v>70</v>
      </c>
      <c r="F37" s="9" t="n">
        <f aca="false">D37*E37</f>
        <v>4200</v>
      </c>
      <c r="G37" s="6" t="s">
        <v>75</v>
      </c>
    </row>
    <row r="38" customFormat="false" ht="15" hidden="false" customHeight="false" outlineLevel="0" collapsed="false">
      <c r="A38" s="6" t="s">
        <v>22</v>
      </c>
      <c r="B38" s="6" t="s">
        <v>121</v>
      </c>
      <c r="C38" s="6" t="s">
        <v>113</v>
      </c>
      <c r="D38" s="24" t="n">
        <v>3</v>
      </c>
      <c r="E38" s="8" t="n">
        <v>500</v>
      </c>
      <c r="F38" s="9" t="n">
        <f aca="false">D38*E38</f>
        <v>1500</v>
      </c>
      <c r="G38" s="6" t="s">
        <v>75</v>
      </c>
    </row>
    <row r="39" customFormat="false" ht="15" hidden="false" customHeight="false" outlineLevel="0" collapsed="false">
      <c r="A39" s="6" t="s">
        <v>25</v>
      </c>
      <c r="B39" s="6" t="s">
        <v>122</v>
      </c>
      <c r="C39" s="6" t="s">
        <v>81</v>
      </c>
      <c r="D39" s="25" t="n">
        <f aca="false">Пиломатериал!F8</f>
        <v>0.573</v>
      </c>
      <c r="E39" s="8" t="n">
        <v>30000</v>
      </c>
      <c r="F39" s="9" t="n">
        <f aca="false">D39*E39</f>
        <v>17190</v>
      </c>
      <c r="G39" s="6" t="s">
        <v>98</v>
      </c>
    </row>
    <row r="40" customFormat="false" ht="15" hidden="false" customHeight="false" outlineLevel="0" collapsed="false">
      <c r="A40" s="6" t="s">
        <v>25</v>
      </c>
      <c r="B40" s="6" t="s">
        <v>123</v>
      </c>
      <c r="C40" s="6" t="s">
        <v>92</v>
      </c>
      <c r="D40" s="24" t="n">
        <v>20</v>
      </c>
      <c r="E40" s="8" t="n">
        <v>150</v>
      </c>
      <c r="F40" s="9" t="n">
        <f aca="false">D40*E40</f>
        <v>3000</v>
      </c>
      <c r="G40" s="6" t="s">
        <v>75</v>
      </c>
    </row>
    <row r="41" customFormat="false" ht="15" hidden="false" customHeight="false" outlineLevel="0" collapsed="false">
      <c r="A41" s="6" t="s">
        <v>25</v>
      </c>
      <c r="B41" s="6" t="s">
        <v>124</v>
      </c>
      <c r="C41" s="6" t="s">
        <v>113</v>
      </c>
      <c r="D41" s="24" t="n">
        <v>5</v>
      </c>
      <c r="E41" s="8" t="n">
        <v>450</v>
      </c>
      <c r="F41" s="9" t="n">
        <f aca="false">D41*E41</f>
        <v>2250</v>
      </c>
      <c r="G41" s="6" t="s">
        <v>75</v>
      </c>
    </row>
    <row r="42" customFormat="false" ht="15" hidden="false" customHeight="false" outlineLevel="0" collapsed="false">
      <c r="A42" s="6" t="s">
        <v>27</v>
      </c>
      <c r="B42" s="6" t="s">
        <v>125</v>
      </c>
      <c r="C42" s="6" t="s">
        <v>81</v>
      </c>
      <c r="D42" s="25" t="n">
        <f aca="false">Пиломатериал!F9</f>
        <v>0.304</v>
      </c>
      <c r="E42" s="8" t="n">
        <v>35000</v>
      </c>
      <c r="F42" s="9" t="n">
        <f aca="false">D42*E42</f>
        <v>10640</v>
      </c>
      <c r="G42" s="6" t="s">
        <v>126</v>
      </c>
    </row>
    <row r="43" customFormat="false" ht="15" hidden="false" customHeight="false" outlineLevel="0" collapsed="false">
      <c r="A43" s="6" t="s">
        <v>27</v>
      </c>
      <c r="B43" s="6" t="s">
        <v>127</v>
      </c>
      <c r="C43" s="6" t="s">
        <v>92</v>
      </c>
      <c r="D43" s="24" t="n">
        <v>24</v>
      </c>
      <c r="E43" s="8" t="n">
        <v>250</v>
      </c>
      <c r="F43" s="9" t="n">
        <f aca="false">D43*E43</f>
        <v>6000</v>
      </c>
      <c r="G43" s="6" t="s">
        <v>75</v>
      </c>
    </row>
    <row r="44" customFormat="false" ht="15" hidden="false" customHeight="false" outlineLevel="0" collapsed="false">
      <c r="A44" s="6" t="s">
        <v>27</v>
      </c>
      <c r="B44" s="6" t="s">
        <v>128</v>
      </c>
      <c r="C44" s="6" t="s">
        <v>92</v>
      </c>
      <c r="D44" s="24" t="n">
        <v>4</v>
      </c>
      <c r="E44" s="8" t="n">
        <v>800</v>
      </c>
      <c r="F44" s="9" t="n">
        <f aca="false">D44*E44</f>
        <v>3200</v>
      </c>
      <c r="G44" s="6" t="s">
        <v>75</v>
      </c>
    </row>
    <row r="45" customFormat="false" ht="15" hidden="false" customHeight="false" outlineLevel="0" collapsed="false">
      <c r="A45" s="6" t="s">
        <v>27</v>
      </c>
      <c r="B45" s="6" t="s">
        <v>129</v>
      </c>
      <c r="C45" s="6" t="s">
        <v>74</v>
      </c>
      <c r="D45" s="24" t="n">
        <v>1</v>
      </c>
      <c r="E45" s="8" t="n">
        <v>1200</v>
      </c>
      <c r="F45" s="9" t="n">
        <f aca="false">D45*E45</f>
        <v>1200</v>
      </c>
      <c r="G45" s="6" t="s">
        <v>75</v>
      </c>
    </row>
    <row r="46" customFormat="false" ht="15" hidden="false" customHeight="false" outlineLevel="0" collapsed="false">
      <c r="A46" s="6" t="s">
        <v>30</v>
      </c>
      <c r="B46" s="6" t="s">
        <v>130</v>
      </c>
      <c r="C46" s="6" t="s">
        <v>81</v>
      </c>
      <c r="D46" s="25" t="n">
        <f aca="false">Пиломатериал!F11</f>
        <v>1.47</v>
      </c>
      <c r="E46" s="8" t="n">
        <v>32000</v>
      </c>
      <c r="F46" s="9" t="n">
        <f aca="false">D46*E46</f>
        <v>47040</v>
      </c>
      <c r="G46" s="6" t="s">
        <v>98</v>
      </c>
    </row>
    <row r="47" customFormat="false" ht="15" hidden="false" customHeight="false" outlineLevel="0" collapsed="false">
      <c r="A47" s="6" t="s">
        <v>30</v>
      </c>
      <c r="B47" s="6" t="s">
        <v>131</v>
      </c>
      <c r="C47" s="6" t="s">
        <v>81</v>
      </c>
      <c r="D47" s="25" t="n">
        <f aca="false">Пиломатериал!F10</f>
        <v>0.121</v>
      </c>
      <c r="E47" s="8" t="n">
        <v>30000</v>
      </c>
      <c r="F47" s="9" t="n">
        <f aca="false">D47*E47</f>
        <v>3630</v>
      </c>
      <c r="G47" s="6" t="s">
        <v>132</v>
      </c>
    </row>
    <row r="48" customFormat="false" ht="15" hidden="false" customHeight="false" outlineLevel="0" collapsed="false">
      <c r="A48" s="6" t="s">
        <v>30</v>
      </c>
      <c r="B48" s="6" t="s">
        <v>133</v>
      </c>
      <c r="C48" s="6" t="s">
        <v>81</v>
      </c>
      <c r="D48" s="24" t="n">
        <v>0.27</v>
      </c>
      <c r="E48" s="8" t="n">
        <v>28000</v>
      </c>
      <c r="F48" s="9" t="n">
        <f aca="false">D48*E48</f>
        <v>7560</v>
      </c>
      <c r="G48" s="6" t="s">
        <v>134</v>
      </c>
    </row>
    <row r="49" customFormat="false" ht="15" hidden="false" customHeight="false" outlineLevel="0" collapsed="false">
      <c r="A49" s="6" t="s">
        <v>30</v>
      </c>
      <c r="B49" s="6" t="s">
        <v>135</v>
      </c>
      <c r="C49" s="6" t="s">
        <v>81</v>
      </c>
      <c r="D49" s="24" t="n">
        <v>0.33</v>
      </c>
      <c r="E49" s="8" t="n">
        <v>25000</v>
      </c>
      <c r="F49" s="9" t="n">
        <f aca="false">D49*E49</f>
        <v>8250</v>
      </c>
      <c r="G49" s="6" t="s">
        <v>136</v>
      </c>
    </row>
    <row r="50" customFormat="false" ht="15" hidden="false" customHeight="false" outlineLevel="0" collapsed="false">
      <c r="A50" s="6" t="s">
        <v>30</v>
      </c>
      <c r="B50" s="6" t="s">
        <v>137</v>
      </c>
      <c r="C50" s="6" t="s">
        <v>107</v>
      </c>
      <c r="D50" s="24" t="n">
        <v>45</v>
      </c>
      <c r="E50" s="8" t="n">
        <v>120</v>
      </c>
      <c r="F50" s="9" t="n">
        <f aca="false">D50*E50</f>
        <v>5400</v>
      </c>
      <c r="G50" s="6" t="s">
        <v>75</v>
      </c>
    </row>
    <row r="51" customFormat="false" ht="15" hidden="false" customHeight="false" outlineLevel="0" collapsed="false">
      <c r="A51" s="6" t="s">
        <v>30</v>
      </c>
      <c r="B51" s="6" t="s">
        <v>138</v>
      </c>
      <c r="C51" s="6" t="s">
        <v>107</v>
      </c>
      <c r="D51" s="24" t="n">
        <v>42</v>
      </c>
      <c r="E51" s="8" t="n">
        <v>700</v>
      </c>
      <c r="F51" s="9" t="n">
        <f aca="false">D51*E51</f>
        <v>29400</v>
      </c>
      <c r="G51" s="6" t="s">
        <v>139</v>
      </c>
    </row>
    <row r="52" customFormat="false" ht="15" hidden="false" customHeight="false" outlineLevel="0" collapsed="false">
      <c r="A52" s="6" t="s">
        <v>30</v>
      </c>
      <c r="B52" s="6" t="s">
        <v>140</v>
      </c>
      <c r="C52" s="6" t="s">
        <v>77</v>
      </c>
      <c r="D52" s="24" t="n">
        <v>5</v>
      </c>
      <c r="E52" s="8" t="n">
        <v>450</v>
      </c>
      <c r="F52" s="9" t="n">
        <f aca="false">D52*E52</f>
        <v>2250</v>
      </c>
      <c r="G52" s="6" t="s">
        <v>75</v>
      </c>
    </row>
    <row r="53" customFormat="false" ht="15" hidden="false" customHeight="false" outlineLevel="0" collapsed="false">
      <c r="A53" s="6" t="s">
        <v>30</v>
      </c>
      <c r="B53" s="6" t="s">
        <v>141</v>
      </c>
      <c r="C53" s="6" t="s">
        <v>77</v>
      </c>
      <c r="D53" s="24" t="n">
        <v>27</v>
      </c>
      <c r="E53" s="8" t="n">
        <v>330</v>
      </c>
      <c r="F53" s="9" t="n">
        <f aca="false">D53*E53</f>
        <v>8910</v>
      </c>
      <c r="G53" s="6" t="s">
        <v>75</v>
      </c>
    </row>
    <row r="54" customFormat="false" ht="15" hidden="false" customHeight="false" outlineLevel="0" collapsed="false">
      <c r="A54" s="6" t="s">
        <v>30</v>
      </c>
      <c r="B54" s="6" t="s">
        <v>142</v>
      </c>
      <c r="C54" s="6" t="s">
        <v>92</v>
      </c>
      <c r="D54" s="24" t="n">
        <v>400</v>
      </c>
      <c r="E54" s="8" t="n">
        <v>6</v>
      </c>
      <c r="F54" s="9" t="n">
        <f aca="false">D54*E54</f>
        <v>2400</v>
      </c>
      <c r="G54" s="6" t="s">
        <v>75</v>
      </c>
    </row>
    <row r="55" customFormat="false" ht="15" hidden="false" customHeight="false" outlineLevel="0" collapsed="false">
      <c r="A55" s="6" t="s">
        <v>30</v>
      </c>
      <c r="B55" s="6" t="s">
        <v>143</v>
      </c>
      <c r="C55" s="6" t="s">
        <v>92</v>
      </c>
      <c r="D55" s="24" t="n">
        <v>1</v>
      </c>
      <c r="E55" s="8" t="n">
        <v>1500</v>
      </c>
      <c r="F55" s="9" t="n">
        <f aca="false">D55*E55</f>
        <v>1500</v>
      </c>
      <c r="G55" s="6" t="s">
        <v>75</v>
      </c>
    </row>
    <row r="56" customFormat="false" ht="15" hidden="false" customHeight="false" outlineLevel="0" collapsed="false">
      <c r="A56" s="6" t="s">
        <v>30</v>
      </c>
      <c r="B56" s="6" t="s">
        <v>144</v>
      </c>
      <c r="C56" s="6" t="s">
        <v>92</v>
      </c>
      <c r="D56" s="24" t="n">
        <v>52</v>
      </c>
      <c r="E56" s="8" t="n">
        <v>130</v>
      </c>
      <c r="F56" s="9" t="n">
        <f aca="false">D56*E56</f>
        <v>6760</v>
      </c>
      <c r="G56" s="6" t="s">
        <v>75</v>
      </c>
    </row>
    <row r="57" customFormat="false" ht="15" hidden="false" customHeight="false" outlineLevel="0" collapsed="false">
      <c r="A57" s="6" t="s">
        <v>32</v>
      </c>
      <c r="B57" s="6" t="s">
        <v>145</v>
      </c>
      <c r="C57" s="6" t="s">
        <v>92</v>
      </c>
      <c r="D57" s="24" t="n">
        <v>1</v>
      </c>
      <c r="E57" s="8" t="n">
        <v>25000</v>
      </c>
      <c r="F57" s="9" t="n">
        <f aca="false">D57*E57</f>
        <v>25000</v>
      </c>
      <c r="G57" s="6" t="s">
        <v>75</v>
      </c>
    </row>
    <row r="58" customFormat="false" ht="15" hidden="false" customHeight="false" outlineLevel="0" collapsed="false">
      <c r="A58" s="6" t="s">
        <v>32</v>
      </c>
      <c r="B58" s="6" t="s">
        <v>146</v>
      </c>
      <c r="C58" s="6" t="s">
        <v>92</v>
      </c>
      <c r="D58" s="24" t="n">
        <v>1</v>
      </c>
      <c r="E58" s="8" t="n">
        <v>15000</v>
      </c>
      <c r="F58" s="9" t="n">
        <f aca="false">D58*E58</f>
        <v>15000</v>
      </c>
      <c r="G58" s="6" t="s">
        <v>75</v>
      </c>
    </row>
    <row r="59" customFormat="false" ht="15" hidden="false" customHeight="false" outlineLevel="0" collapsed="false">
      <c r="A59" s="6" t="s">
        <v>32</v>
      </c>
      <c r="B59" s="6" t="s">
        <v>147</v>
      </c>
      <c r="C59" s="6" t="s">
        <v>92</v>
      </c>
      <c r="D59" s="24" t="n">
        <v>1</v>
      </c>
      <c r="E59" s="8" t="n">
        <v>12000</v>
      </c>
      <c r="F59" s="9" t="n">
        <f aca="false">D59*E59</f>
        <v>12000</v>
      </c>
      <c r="G59" s="6" t="s">
        <v>75</v>
      </c>
    </row>
    <row r="60" customFormat="false" ht="15" hidden="false" customHeight="false" outlineLevel="0" collapsed="false">
      <c r="A60" s="6" t="s">
        <v>32</v>
      </c>
      <c r="B60" s="6" t="s">
        <v>148</v>
      </c>
      <c r="C60" s="6" t="s">
        <v>92</v>
      </c>
      <c r="D60" s="24" t="n">
        <v>1</v>
      </c>
      <c r="E60" s="8" t="n">
        <v>15000</v>
      </c>
      <c r="F60" s="9" t="n">
        <f aca="false">D60*E60</f>
        <v>15000</v>
      </c>
      <c r="G60" s="6" t="s">
        <v>75</v>
      </c>
    </row>
    <row r="61" customFormat="false" ht="15" hidden="false" customHeight="false" outlineLevel="0" collapsed="false">
      <c r="A61" s="6" t="s">
        <v>32</v>
      </c>
      <c r="B61" s="6" t="s">
        <v>149</v>
      </c>
      <c r="C61" s="6" t="s">
        <v>92</v>
      </c>
      <c r="D61" s="24" t="n">
        <v>1</v>
      </c>
      <c r="E61" s="8" t="n">
        <v>7000</v>
      </c>
      <c r="F61" s="9" t="n">
        <f aca="false">D61*E61</f>
        <v>7000</v>
      </c>
      <c r="G61" s="6" t="s">
        <v>75</v>
      </c>
    </row>
    <row r="62" customFormat="false" ht="15" hidden="false" customHeight="false" outlineLevel="0" collapsed="false">
      <c r="A62" s="6" t="s">
        <v>32</v>
      </c>
      <c r="B62" s="6" t="s">
        <v>150</v>
      </c>
      <c r="C62" s="6" t="s">
        <v>92</v>
      </c>
      <c r="D62" s="24" t="n">
        <v>1</v>
      </c>
      <c r="E62" s="8" t="n">
        <v>18000</v>
      </c>
      <c r="F62" s="9" t="n">
        <f aca="false">D62*E62</f>
        <v>18000</v>
      </c>
      <c r="G62" s="6" t="s">
        <v>75</v>
      </c>
    </row>
    <row r="63" customFormat="false" ht="15" hidden="false" customHeight="false" outlineLevel="0" collapsed="false">
      <c r="A63" s="6" t="s">
        <v>32</v>
      </c>
      <c r="B63" s="6" t="s">
        <v>151</v>
      </c>
      <c r="C63" s="6" t="s">
        <v>92</v>
      </c>
      <c r="D63" s="24" t="n">
        <v>2</v>
      </c>
      <c r="E63" s="8" t="n">
        <v>20000</v>
      </c>
      <c r="F63" s="9" t="n">
        <f aca="false">D63*E63</f>
        <v>40000</v>
      </c>
      <c r="G63" s="6" t="s">
        <v>75</v>
      </c>
    </row>
    <row r="64" customFormat="false" ht="15" hidden="false" customHeight="false" outlineLevel="0" collapsed="false">
      <c r="A64" s="6" t="s">
        <v>32</v>
      </c>
      <c r="B64" s="6" t="s">
        <v>152</v>
      </c>
      <c r="C64" s="6" t="s">
        <v>92</v>
      </c>
      <c r="D64" s="24" t="n">
        <v>2</v>
      </c>
      <c r="E64" s="8" t="n">
        <v>9000</v>
      </c>
      <c r="F64" s="9" t="n">
        <f aca="false">D64*E64</f>
        <v>18000</v>
      </c>
      <c r="G64" s="6" t="s">
        <v>75</v>
      </c>
    </row>
    <row r="65" customFormat="false" ht="15" hidden="false" customHeight="false" outlineLevel="0" collapsed="false">
      <c r="A65" s="6" t="s">
        <v>32</v>
      </c>
      <c r="B65" s="6" t="s">
        <v>153</v>
      </c>
      <c r="C65" s="6" t="s">
        <v>74</v>
      </c>
      <c r="D65" s="24" t="n">
        <v>1</v>
      </c>
      <c r="E65" s="8" t="n">
        <v>8000</v>
      </c>
      <c r="F65" s="9" t="n">
        <f aca="false">D65*E65</f>
        <v>8000</v>
      </c>
      <c r="G65" s="6" t="s">
        <v>75</v>
      </c>
    </row>
    <row r="66" customFormat="false" ht="15" hidden="false" customHeight="false" outlineLevel="0" collapsed="false">
      <c r="A66" s="6" t="s">
        <v>35</v>
      </c>
      <c r="B66" s="6" t="s">
        <v>154</v>
      </c>
      <c r="C66" s="6" t="s">
        <v>81</v>
      </c>
      <c r="D66" s="24" t="n">
        <v>7.1</v>
      </c>
      <c r="E66" s="8" t="n">
        <v>4500</v>
      </c>
      <c r="F66" s="9" t="n">
        <f aca="false">D66*E66</f>
        <v>31950</v>
      </c>
      <c r="G66" s="6" t="s">
        <v>155</v>
      </c>
    </row>
    <row r="67" customFormat="false" ht="15" hidden="false" customHeight="false" outlineLevel="0" collapsed="false">
      <c r="A67" s="6" t="s">
        <v>35</v>
      </c>
      <c r="B67" s="6" t="s">
        <v>156</v>
      </c>
      <c r="C67" s="6" t="s">
        <v>81</v>
      </c>
      <c r="D67" s="24" t="n">
        <v>12.6</v>
      </c>
      <c r="E67" s="8" t="n">
        <v>4500</v>
      </c>
      <c r="F67" s="9" t="n">
        <f aca="false">D67*E67</f>
        <v>56700</v>
      </c>
      <c r="G67" s="6" t="s">
        <v>155</v>
      </c>
    </row>
    <row r="68" customFormat="false" ht="15" hidden="false" customHeight="false" outlineLevel="0" collapsed="false">
      <c r="A68" s="6" t="s">
        <v>35</v>
      </c>
      <c r="B68" s="6" t="s">
        <v>157</v>
      </c>
      <c r="C68" s="6" t="s">
        <v>107</v>
      </c>
      <c r="D68" s="24" t="n">
        <v>86.3</v>
      </c>
      <c r="E68" s="8" t="n">
        <v>90</v>
      </c>
      <c r="F68" s="9" t="n">
        <f aca="false">D68*E68</f>
        <v>7767</v>
      </c>
      <c r="G68" s="6" t="s">
        <v>155</v>
      </c>
    </row>
    <row r="69" customFormat="false" ht="15" hidden="false" customHeight="false" outlineLevel="0" collapsed="false">
      <c r="A69" s="6" t="s">
        <v>35</v>
      </c>
      <c r="B69" s="6" t="s">
        <v>158</v>
      </c>
      <c r="C69" s="6" t="s">
        <v>107</v>
      </c>
      <c r="D69" s="24" t="n">
        <v>118.4</v>
      </c>
      <c r="E69" s="8" t="n">
        <v>45</v>
      </c>
      <c r="F69" s="9" t="n">
        <f aca="false">D69*E69</f>
        <v>5328</v>
      </c>
      <c r="G69" s="6" t="s">
        <v>155</v>
      </c>
    </row>
    <row r="70" customFormat="false" ht="15" hidden="false" customHeight="false" outlineLevel="0" collapsed="false">
      <c r="A70" s="6" t="s">
        <v>35</v>
      </c>
      <c r="B70" s="6" t="s">
        <v>159</v>
      </c>
      <c r="C70" s="6" t="s">
        <v>107</v>
      </c>
      <c r="D70" s="24" t="n">
        <v>25.2</v>
      </c>
      <c r="E70" s="8" t="n">
        <v>150</v>
      </c>
      <c r="F70" s="9" t="n">
        <f aca="false">D70*E70</f>
        <v>3780</v>
      </c>
      <c r="G70" s="6" t="s">
        <v>155</v>
      </c>
    </row>
    <row r="71" customFormat="false" ht="15" hidden="false" customHeight="false" outlineLevel="0" collapsed="false">
      <c r="A71" s="6" t="s">
        <v>35</v>
      </c>
      <c r="B71" s="6" t="s">
        <v>160</v>
      </c>
      <c r="C71" s="6" t="s">
        <v>74</v>
      </c>
      <c r="D71" s="24" t="n">
        <v>1</v>
      </c>
      <c r="E71" s="8" t="n">
        <v>12000</v>
      </c>
      <c r="F71" s="9" t="n">
        <f aca="false">D71*E71</f>
        <v>12000</v>
      </c>
      <c r="G71" s="6" t="s">
        <v>75</v>
      </c>
    </row>
    <row r="72" customFormat="false" ht="15" hidden="false" customHeight="false" outlineLevel="0" collapsed="false">
      <c r="A72" s="6" t="s">
        <v>35</v>
      </c>
      <c r="B72" s="6" t="s">
        <v>161</v>
      </c>
      <c r="C72" s="6" t="s">
        <v>111</v>
      </c>
      <c r="D72" s="24" t="n">
        <v>3</v>
      </c>
      <c r="E72" s="8" t="n">
        <v>1800</v>
      </c>
      <c r="F72" s="9" t="n">
        <f aca="false">D72*E72</f>
        <v>5400</v>
      </c>
      <c r="G72" s="6" t="s">
        <v>75</v>
      </c>
    </row>
    <row r="73" customFormat="false" ht="15" hidden="false" customHeight="false" outlineLevel="0" collapsed="false">
      <c r="A73" s="6" t="s">
        <v>35</v>
      </c>
      <c r="B73" s="6" t="s">
        <v>162</v>
      </c>
      <c r="C73" s="6" t="s">
        <v>163</v>
      </c>
      <c r="D73" s="24" t="n">
        <v>28</v>
      </c>
      <c r="E73" s="8" t="n">
        <v>450</v>
      </c>
      <c r="F73" s="9" t="n">
        <f aca="false">D73*E73</f>
        <v>12600</v>
      </c>
      <c r="G73" s="6" t="s">
        <v>164</v>
      </c>
    </row>
    <row r="74" customFormat="false" ht="15" hidden="false" customHeight="false" outlineLevel="0" collapsed="false">
      <c r="A74" s="6" t="s">
        <v>35</v>
      </c>
      <c r="B74" s="6" t="s">
        <v>165</v>
      </c>
      <c r="C74" s="6" t="s">
        <v>74</v>
      </c>
      <c r="D74" s="24" t="n">
        <v>1</v>
      </c>
      <c r="E74" s="8" t="n">
        <v>3500</v>
      </c>
      <c r="F74" s="9" t="n">
        <f aca="false">D74*E74</f>
        <v>3500</v>
      </c>
      <c r="G74" s="6" t="s">
        <v>75</v>
      </c>
    </row>
    <row r="75" customFormat="false" ht="15" hidden="false" customHeight="false" outlineLevel="0" collapsed="false">
      <c r="A75" s="6" t="s">
        <v>35</v>
      </c>
      <c r="B75" s="6" t="s">
        <v>166</v>
      </c>
      <c r="C75" s="6" t="s">
        <v>107</v>
      </c>
      <c r="D75" s="24" t="n">
        <v>12</v>
      </c>
      <c r="E75" s="8" t="n">
        <v>450</v>
      </c>
      <c r="F75" s="9" t="n">
        <f aca="false">D75*E75</f>
        <v>5400</v>
      </c>
      <c r="G75" s="6" t="s">
        <v>75</v>
      </c>
    </row>
    <row r="76" customFormat="false" ht="15" hidden="false" customHeight="false" outlineLevel="0" collapsed="false">
      <c r="A76" s="6" t="s">
        <v>35</v>
      </c>
      <c r="B76" s="6" t="s">
        <v>167</v>
      </c>
      <c r="C76" s="6" t="s">
        <v>107</v>
      </c>
      <c r="D76" s="24" t="n">
        <v>10</v>
      </c>
      <c r="E76" s="8" t="n">
        <v>2100</v>
      </c>
      <c r="F76" s="9" t="n">
        <f aca="false">D76*E76</f>
        <v>21000</v>
      </c>
      <c r="G76" s="6" t="s">
        <v>75</v>
      </c>
    </row>
    <row r="77" customFormat="false" ht="15" hidden="false" customHeight="false" outlineLevel="0" collapsed="false">
      <c r="A77" s="6" t="s">
        <v>35</v>
      </c>
      <c r="B77" s="6" t="s">
        <v>168</v>
      </c>
      <c r="C77" s="6" t="s">
        <v>92</v>
      </c>
      <c r="D77" s="24" t="n">
        <v>1</v>
      </c>
      <c r="E77" s="8" t="n">
        <v>4500</v>
      </c>
      <c r="F77" s="9" t="n">
        <f aca="false">D77*E77</f>
        <v>4500</v>
      </c>
      <c r="G77" s="6" t="s">
        <v>75</v>
      </c>
    </row>
    <row r="78" customFormat="false" ht="15" hidden="false" customHeight="false" outlineLevel="0" collapsed="false">
      <c r="A78" s="6" t="s">
        <v>35</v>
      </c>
      <c r="B78" s="6" t="s">
        <v>169</v>
      </c>
      <c r="C78" s="6" t="s">
        <v>92</v>
      </c>
      <c r="D78" s="24" t="n">
        <v>1</v>
      </c>
      <c r="E78" s="8" t="n">
        <v>8000</v>
      </c>
      <c r="F78" s="9" t="n">
        <f aca="false">D78*E78</f>
        <v>8000</v>
      </c>
      <c r="G78" s="6" t="s">
        <v>75</v>
      </c>
    </row>
    <row r="79" customFormat="false" ht="15" hidden="false" customHeight="false" outlineLevel="0" collapsed="false">
      <c r="A79" s="6" t="s">
        <v>35</v>
      </c>
      <c r="B79" s="6" t="s">
        <v>170</v>
      </c>
      <c r="C79" s="6" t="s">
        <v>107</v>
      </c>
      <c r="D79" s="24" t="n">
        <v>24.1</v>
      </c>
      <c r="E79" s="8" t="n">
        <v>1800</v>
      </c>
      <c r="F79" s="9" t="n">
        <f aca="false">D79*E79</f>
        <v>43380</v>
      </c>
      <c r="G79" s="6" t="s">
        <v>155</v>
      </c>
    </row>
    <row r="80" customFormat="false" ht="15" hidden="false" customHeight="false" outlineLevel="0" collapsed="false">
      <c r="A80" s="6" t="s">
        <v>35</v>
      </c>
      <c r="B80" s="6" t="s">
        <v>171</v>
      </c>
      <c r="C80" s="6" t="s">
        <v>107</v>
      </c>
      <c r="D80" s="24" t="n">
        <v>113.3</v>
      </c>
      <c r="E80" s="8" t="n">
        <v>650</v>
      </c>
      <c r="F80" s="9" t="n">
        <f aca="false">D80*E80</f>
        <v>73645</v>
      </c>
      <c r="G80" s="6" t="s">
        <v>155</v>
      </c>
    </row>
    <row r="81" customFormat="false" ht="15" hidden="false" customHeight="false" outlineLevel="0" collapsed="false">
      <c r="A81" s="6" t="s">
        <v>35</v>
      </c>
      <c r="B81" s="6" t="s">
        <v>172</v>
      </c>
      <c r="C81" s="6" t="s">
        <v>107</v>
      </c>
      <c r="D81" s="24" t="n">
        <v>82.6</v>
      </c>
      <c r="E81" s="8" t="n">
        <v>1000</v>
      </c>
      <c r="F81" s="9" t="n">
        <f aca="false">D81*E81</f>
        <v>82600</v>
      </c>
      <c r="G81" s="6" t="s">
        <v>155</v>
      </c>
    </row>
    <row r="82" customFormat="false" ht="15" hidden="false" customHeight="false" outlineLevel="0" collapsed="false">
      <c r="A82" s="6" t="s">
        <v>35</v>
      </c>
      <c r="B82" s="6" t="s">
        <v>173</v>
      </c>
      <c r="C82" s="6" t="s">
        <v>174</v>
      </c>
      <c r="D82" s="24" t="n">
        <v>412.4</v>
      </c>
      <c r="E82" s="8" t="n">
        <v>25</v>
      </c>
      <c r="F82" s="9" t="n">
        <f aca="false">D82*E82</f>
        <v>10310</v>
      </c>
      <c r="G82" s="6" t="s">
        <v>155</v>
      </c>
    </row>
    <row r="83" customFormat="false" ht="15" hidden="false" customHeight="false" outlineLevel="0" collapsed="false">
      <c r="A83" s="6" t="s">
        <v>35</v>
      </c>
      <c r="B83" s="6" t="s">
        <v>175</v>
      </c>
      <c r="C83" s="6" t="s">
        <v>107</v>
      </c>
      <c r="D83" s="24" t="n">
        <v>26.3</v>
      </c>
      <c r="E83" s="8" t="n">
        <v>1300</v>
      </c>
      <c r="F83" s="9" t="n">
        <f aca="false">D83*E83</f>
        <v>34190</v>
      </c>
      <c r="G83" s="6" t="s">
        <v>155</v>
      </c>
    </row>
    <row r="84" customFormat="false" ht="15" hidden="false" customHeight="false" outlineLevel="0" collapsed="false">
      <c r="A84" s="6" t="s">
        <v>35</v>
      </c>
      <c r="B84" s="6" t="s">
        <v>176</v>
      </c>
      <c r="C84" s="6" t="s">
        <v>74</v>
      </c>
      <c r="D84" s="24" t="n">
        <v>1</v>
      </c>
      <c r="E84" s="8" t="n">
        <v>6000</v>
      </c>
      <c r="F84" s="9" t="n">
        <f aca="false">D84*E84</f>
        <v>6000</v>
      </c>
      <c r="G84" s="6" t="s">
        <v>75</v>
      </c>
    </row>
    <row r="85" customFormat="false" ht="15" hidden="false" customHeight="false" outlineLevel="0" collapsed="false">
      <c r="A85" s="6" t="s">
        <v>37</v>
      </c>
      <c r="B85" s="6" t="s">
        <v>177</v>
      </c>
      <c r="C85" s="6" t="s">
        <v>92</v>
      </c>
      <c r="D85" s="24" t="n">
        <v>1</v>
      </c>
      <c r="E85" s="8" t="n">
        <v>60000</v>
      </c>
      <c r="F85" s="9" t="n">
        <f aca="false">D85*E85</f>
        <v>60000</v>
      </c>
      <c r="G85" s="6" t="s">
        <v>178</v>
      </c>
    </row>
    <row r="86" customFormat="false" ht="15" hidden="false" customHeight="false" outlineLevel="0" collapsed="false">
      <c r="A86" s="6" t="s">
        <v>37</v>
      </c>
      <c r="B86" s="6" t="s">
        <v>179</v>
      </c>
      <c r="C86" s="6" t="s">
        <v>113</v>
      </c>
      <c r="D86" s="24" t="n">
        <v>40</v>
      </c>
      <c r="E86" s="8" t="n">
        <v>60</v>
      </c>
      <c r="F86" s="9" t="n">
        <f aca="false">D86*E86</f>
        <v>2400</v>
      </c>
      <c r="G86" s="6" t="s">
        <v>75</v>
      </c>
    </row>
    <row r="87" customFormat="false" ht="15" hidden="false" customHeight="false" outlineLevel="0" collapsed="false">
      <c r="A87" s="6" t="s">
        <v>37</v>
      </c>
      <c r="B87" s="6" t="s">
        <v>180</v>
      </c>
      <c r="C87" s="6" t="s">
        <v>77</v>
      </c>
      <c r="D87" s="24" t="n">
        <v>6.5</v>
      </c>
      <c r="E87" s="8" t="n">
        <v>6500</v>
      </c>
      <c r="F87" s="9" t="n">
        <f aca="false">D87*E87</f>
        <v>42250</v>
      </c>
      <c r="G87" s="6" t="s">
        <v>75</v>
      </c>
    </row>
    <row r="88" customFormat="false" ht="15" hidden="false" customHeight="false" outlineLevel="0" collapsed="false">
      <c r="A88" s="6" t="s">
        <v>37</v>
      </c>
      <c r="B88" s="6" t="s">
        <v>181</v>
      </c>
      <c r="C88" s="6" t="s">
        <v>74</v>
      </c>
      <c r="D88" s="24" t="n">
        <v>1</v>
      </c>
      <c r="E88" s="8" t="n">
        <v>15000</v>
      </c>
      <c r="F88" s="9" t="n">
        <f aca="false">D88*E88</f>
        <v>15000</v>
      </c>
      <c r="G88" s="6" t="s">
        <v>75</v>
      </c>
    </row>
    <row r="89" customFormat="false" ht="15" hidden="false" customHeight="false" outlineLevel="0" collapsed="false">
      <c r="A89" s="6" t="s">
        <v>37</v>
      </c>
      <c r="B89" s="6" t="s">
        <v>182</v>
      </c>
      <c r="C89" s="6" t="s">
        <v>74</v>
      </c>
      <c r="D89" s="24" t="n">
        <v>1</v>
      </c>
      <c r="E89" s="8" t="n">
        <v>14000</v>
      </c>
      <c r="F89" s="9" t="n">
        <f aca="false">D89*E89</f>
        <v>14000</v>
      </c>
      <c r="G89" s="6" t="s">
        <v>75</v>
      </c>
    </row>
    <row r="90" customFormat="false" ht="15" hidden="false" customHeight="false" outlineLevel="0" collapsed="false">
      <c r="A90" s="6" t="s">
        <v>40</v>
      </c>
      <c r="B90" s="6" t="s">
        <v>183</v>
      </c>
      <c r="C90" s="6" t="s">
        <v>113</v>
      </c>
      <c r="D90" s="24" t="n">
        <v>162</v>
      </c>
      <c r="E90" s="8" t="n">
        <v>130</v>
      </c>
      <c r="F90" s="9" t="n">
        <f aca="false">D90*E90</f>
        <v>21060</v>
      </c>
      <c r="G90" s="6" t="s">
        <v>184</v>
      </c>
    </row>
    <row r="91" customFormat="false" ht="15" hidden="false" customHeight="false" outlineLevel="0" collapsed="false">
      <c r="A91" s="6" t="s">
        <v>40</v>
      </c>
      <c r="B91" s="6" t="s">
        <v>185</v>
      </c>
      <c r="C91" s="6" t="s">
        <v>92</v>
      </c>
      <c r="D91" s="24" t="n">
        <v>3</v>
      </c>
      <c r="E91" s="8" t="n">
        <v>900</v>
      </c>
      <c r="F91" s="9" t="n">
        <f aca="false">D91*E91</f>
        <v>2700</v>
      </c>
      <c r="G91" s="6" t="s">
        <v>75</v>
      </c>
    </row>
    <row r="92" customFormat="false" ht="15" hidden="false" customHeight="false" outlineLevel="0" collapsed="false">
      <c r="A92" s="6" t="s">
        <v>40</v>
      </c>
      <c r="B92" s="6" t="s">
        <v>186</v>
      </c>
      <c r="C92" s="6" t="s">
        <v>74</v>
      </c>
      <c r="D92" s="24" t="n">
        <v>1</v>
      </c>
      <c r="E92" s="8" t="n">
        <v>6500</v>
      </c>
      <c r="F92" s="9" t="n">
        <f aca="false">D92*E92</f>
        <v>6500</v>
      </c>
      <c r="G92" s="6" t="s">
        <v>75</v>
      </c>
    </row>
    <row r="93" customFormat="false" ht="15" hidden="false" customHeight="false" outlineLevel="0" collapsed="false">
      <c r="A93" s="6" t="s">
        <v>42</v>
      </c>
      <c r="B93" s="6" t="s">
        <v>187</v>
      </c>
      <c r="C93" s="6" t="s">
        <v>74</v>
      </c>
      <c r="D93" s="24" t="n">
        <v>1</v>
      </c>
      <c r="E93" s="8" t="n">
        <v>12000</v>
      </c>
      <c r="F93" s="9" t="n">
        <f aca="false">D93*E93</f>
        <v>12000</v>
      </c>
      <c r="G93" s="6" t="s">
        <v>75</v>
      </c>
    </row>
    <row r="94" customFormat="false" ht="15" hidden="false" customHeight="false" outlineLevel="0" collapsed="false">
      <c r="A94" s="6" t="s">
        <v>42</v>
      </c>
      <c r="B94" s="6" t="s">
        <v>188</v>
      </c>
      <c r="C94" s="6" t="s">
        <v>92</v>
      </c>
      <c r="D94" s="24" t="n">
        <v>1</v>
      </c>
      <c r="E94" s="8" t="n">
        <v>14000</v>
      </c>
      <c r="F94" s="9" t="n">
        <f aca="false">D94*E94</f>
        <v>14000</v>
      </c>
      <c r="G94" s="6" t="s">
        <v>75</v>
      </c>
    </row>
    <row r="95" customFormat="false" ht="15" hidden="false" customHeight="false" outlineLevel="0" collapsed="false">
      <c r="A95" s="6" t="s">
        <v>42</v>
      </c>
      <c r="B95" s="6" t="s">
        <v>189</v>
      </c>
      <c r="C95" s="6" t="s">
        <v>74</v>
      </c>
      <c r="D95" s="24" t="n">
        <v>1</v>
      </c>
      <c r="E95" s="8" t="n">
        <v>15000</v>
      </c>
      <c r="F95" s="9" t="n">
        <f aca="false">D95*E95</f>
        <v>15000</v>
      </c>
      <c r="G95" s="6" t="s">
        <v>75</v>
      </c>
    </row>
    <row r="96" customFormat="false" ht="15" hidden="false" customHeight="false" outlineLevel="0" collapsed="false">
      <c r="A96" s="6" t="s">
        <v>42</v>
      </c>
      <c r="B96" s="6" t="s">
        <v>190</v>
      </c>
      <c r="C96" s="6" t="s">
        <v>74</v>
      </c>
      <c r="D96" s="24" t="n">
        <v>1</v>
      </c>
      <c r="E96" s="8" t="n">
        <v>6000</v>
      </c>
      <c r="F96" s="9" t="n">
        <f aca="false">D96*E96</f>
        <v>6000</v>
      </c>
      <c r="G96" s="6" t="s">
        <v>75</v>
      </c>
    </row>
    <row r="97" customFormat="false" ht="15" hidden="false" customHeight="false" outlineLevel="0" collapsed="false">
      <c r="A97" s="6" t="s">
        <v>42</v>
      </c>
      <c r="B97" s="6" t="s">
        <v>191</v>
      </c>
      <c r="C97" s="6" t="s">
        <v>74</v>
      </c>
      <c r="D97" s="24" t="n">
        <v>1</v>
      </c>
      <c r="E97" s="8" t="n">
        <v>25000</v>
      </c>
      <c r="F97" s="9" t="n">
        <f aca="false">D97*E97</f>
        <v>25000</v>
      </c>
      <c r="G97" s="6" t="s">
        <v>75</v>
      </c>
    </row>
    <row r="98" customFormat="false" ht="15" hidden="false" customHeight="false" outlineLevel="0" collapsed="false">
      <c r="A98" s="6" t="s">
        <v>42</v>
      </c>
      <c r="B98" s="6" t="s">
        <v>192</v>
      </c>
      <c r="C98" s="6" t="s">
        <v>92</v>
      </c>
      <c r="D98" s="24" t="n">
        <v>2</v>
      </c>
      <c r="E98" s="8" t="n">
        <v>6000</v>
      </c>
      <c r="F98" s="9" t="n">
        <f aca="false">D98*E98</f>
        <v>12000</v>
      </c>
      <c r="G98" s="6" t="s">
        <v>75</v>
      </c>
    </row>
    <row r="99" customFormat="false" ht="15" hidden="false" customHeight="false" outlineLevel="0" collapsed="false">
      <c r="A99" s="6" t="s">
        <v>45</v>
      </c>
      <c r="B99" s="6" t="s">
        <v>193</v>
      </c>
      <c r="C99" s="6" t="s">
        <v>92</v>
      </c>
      <c r="D99" s="24" t="n">
        <v>4</v>
      </c>
      <c r="E99" s="8" t="n">
        <v>6500</v>
      </c>
      <c r="F99" s="9" t="n">
        <f aca="false">D99*E99</f>
        <v>26000</v>
      </c>
      <c r="G99" s="6" t="s">
        <v>75</v>
      </c>
    </row>
    <row r="100" customFormat="false" ht="15" hidden="false" customHeight="false" outlineLevel="0" collapsed="false">
      <c r="A100" s="6" t="s">
        <v>45</v>
      </c>
      <c r="B100" s="6" t="s">
        <v>194</v>
      </c>
      <c r="C100" s="6" t="s">
        <v>81</v>
      </c>
      <c r="D100" s="24" t="n">
        <v>0.556</v>
      </c>
      <c r="E100" s="8" t="n">
        <v>30000</v>
      </c>
      <c r="F100" s="9" t="n">
        <f aca="false">D100*E100</f>
        <v>16680</v>
      </c>
      <c r="G100" s="6" t="s">
        <v>195</v>
      </c>
    </row>
    <row r="101" customFormat="false" ht="15" hidden="false" customHeight="false" outlineLevel="0" collapsed="false">
      <c r="A101" s="6" t="s">
        <v>45</v>
      </c>
      <c r="B101" s="6" t="s">
        <v>196</v>
      </c>
      <c r="C101" s="6" t="s">
        <v>81</v>
      </c>
      <c r="D101" s="24" t="n">
        <v>0.217</v>
      </c>
      <c r="E101" s="8" t="n">
        <v>30000</v>
      </c>
      <c r="F101" s="9" t="n">
        <f aca="false">D101*E101</f>
        <v>6510</v>
      </c>
      <c r="G101" s="6" t="s">
        <v>195</v>
      </c>
    </row>
    <row r="102" customFormat="false" ht="15" hidden="false" customHeight="false" outlineLevel="0" collapsed="false">
      <c r="A102" s="6" t="s">
        <v>45</v>
      </c>
      <c r="B102" s="6" t="s">
        <v>197</v>
      </c>
      <c r="C102" s="6" t="s">
        <v>81</v>
      </c>
      <c r="D102" s="24" t="n">
        <v>0.194</v>
      </c>
      <c r="E102" s="8" t="n">
        <v>32000</v>
      </c>
      <c r="F102" s="9" t="n">
        <f aca="false">D102*E102</f>
        <v>6208</v>
      </c>
      <c r="G102" s="6" t="s">
        <v>195</v>
      </c>
    </row>
    <row r="103" customFormat="false" ht="15" hidden="false" customHeight="false" outlineLevel="0" collapsed="false">
      <c r="A103" s="6" t="s">
        <v>45</v>
      </c>
      <c r="B103" s="6" t="s">
        <v>198</v>
      </c>
      <c r="C103" s="6" t="s">
        <v>107</v>
      </c>
      <c r="D103" s="24" t="n">
        <v>8.3</v>
      </c>
      <c r="E103" s="8" t="n">
        <v>2200</v>
      </c>
      <c r="F103" s="9" t="n">
        <f aca="false">D103*E103</f>
        <v>18260</v>
      </c>
      <c r="G103" s="6" t="s">
        <v>75</v>
      </c>
    </row>
    <row r="104" customFormat="false" ht="15" hidden="false" customHeight="false" outlineLevel="0" collapsed="false">
      <c r="A104" s="6" t="s">
        <v>45</v>
      </c>
      <c r="B104" s="6" t="s">
        <v>199</v>
      </c>
      <c r="C104" s="6" t="s">
        <v>107</v>
      </c>
      <c r="D104" s="24" t="n">
        <v>10</v>
      </c>
      <c r="E104" s="8" t="n">
        <v>800</v>
      </c>
      <c r="F104" s="9" t="n">
        <f aca="false">D104*E104</f>
        <v>8000</v>
      </c>
      <c r="G104" s="6" t="s">
        <v>75</v>
      </c>
    </row>
    <row r="105" customFormat="false" ht="15" hidden="false" customHeight="false" outlineLevel="0" collapsed="false">
      <c r="A105" s="6" t="s">
        <v>45</v>
      </c>
      <c r="B105" s="6" t="s">
        <v>200</v>
      </c>
      <c r="C105" s="6" t="s">
        <v>174</v>
      </c>
      <c r="D105" s="24" t="n">
        <v>35</v>
      </c>
      <c r="E105" s="8" t="n">
        <v>60</v>
      </c>
      <c r="F105" s="9" t="n">
        <f aca="false">D105*E105</f>
        <v>2100</v>
      </c>
      <c r="G105" s="6" t="s">
        <v>75</v>
      </c>
    </row>
    <row r="106" customFormat="false" ht="15" hidden="false" customHeight="false" outlineLevel="0" collapsed="false">
      <c r="A106" s="6" t="s">
        <v>45</v>
      </c>
      <c r="B106" s="6" t="s">
        <v>201</v>
      </c>
      <c r="C106" s="6" t="s">
        <v>74</v>
      </c>
      <c r="D106" s="24" t="n">
        <v>1</v>
      </c>
      <c r="E106" s="8" t="n">
        <v>6000</v>
      </c>
      <c r="F106" s="9" t="n">
        <f aca="false">D106*E106</f>
        <v>6000</v>
      </c>
      <c r="G106" s="6" t="s">
        <v>75</v>
      </c>
    </row>
    <row r="107" customFormat="false" ht="15" hidden="false" customHeight="false" outlineLevel="0" collapsed="false">
      <c r="A107" s="6" t="s">
        <v>45</v>
      </c>
      <c r="B107" s="6" t="s">
        <v>202</v>
      </c>
      <c r="C107" s="6" t="s">
        <v>104</v>
      </c>
      <c r="D107" s="24" t="n">
        <v>6</v>
      </c>
      <c r="E107" s="8" t="n">
        <v>900</v>
      </c>
      <c r="F107" s="9" t="n">
        <f aca="false">D107*E107</f>
        <v>5400</v>
      </c>
      <c r="G107" s="6" t="s">
        <v>75</v>
      </c>
    </row>
    <row r="108" customFormat="false" ht="15" hidden="false" customHeight="false" outlineLevel="0" collapsed="false">
      <c r="B108" s="22" t="s">
        <v>203</v>
      </c>
      <c r="F108" s="26" t="n">
        <f aca="false">SUM(F5:F107)</f>
        <v>1558484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2" t="s">
        <v>204</v>
      </c>
    </row>
    <row r="2" customFormat="false" ht="15" hidden="false" customHeight="false" outlineLevel="0" collapsed="false">
      <c r="A2" s="2" t="s">
        <v>205</v>
      </c>
    </row>
    <row r="3" customFormat="false" ht="15" hidden="false" customHeight="false" outlineLevel="0" collapsed="false">
      <c r="A3" s="2" t="s">
        <v>206</v>
      </c>
    </row>
    <row r="4" customFormat="false" ht="15" hidden="false" customHeight="false" outlineLevel="0" collapsed="false">
      <c r="A4" s="2" t="s">
        <v>207</v>
      </c>
    </row>
    <row r="5" customFormat="false" ht="15" hidden="false" customHeight="false" outlineLevel="0" collapsed="false">
      <c r="A5" s="2" t="s">
        <v>208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2" t="s">
        <v>209</v>
      </c>
    </row>
    <row r="8" customFormat="false" ht="15" hidden="false" customHeight="false" outlineLevel="0" collapsed="false">
      <c r="A8" s="2" t="s">
        <v>210</v>
      </c>
    </row>
    <row r="9" customFormat="false" ht="15" hidden="false" customHeight="false" outlineLevel="0" collapsed="false">
      <c r="A9" s="2" t="s">
        <v>211</v>
      </c>
    </row>
    <row r="10" customFormat="false" ht="15" hidden="false" customHeight="false" outlineLevel="0" collapsed="false">
      <c r="A10" s="2" t="s">
        <v>212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2026-10-15T11:13:19Z</dcterms:created>
  <dc:creator>openpyxl</dc:creator>
  <dc:description/>
  <dc:language>en-US</dc:language>
  <cp:lastModifiedBy/>
  <dcterms:modified xsi:type="dcterms:W3CDTF">2026-10-15T11:13:22Z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